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Pictures\proairtel\"/>
    </mc:Choice>
  </mc:AlternateContent>
  <xr:revisionPtr revIDLastSave="0" documentId="13_ncr:1_{1E66CAEA-93D6-4D66-B427-5B97A69BFCF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Raw Data" sheetId="1" r:id="rId1"/>
    <sheet name="Pivot Tables" sheetId="2" r:id="rId2"/>
    <sheet name="Dashboard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1" i="2" l="1"/>
  <c r="V41" i="2" s="1"/>
  <c r="U43" i="2"/>
  <c r="U44" i="2"/>
  <c r="U45" i="2"/>
  <c r="U42" i="2"/>
  <c r="I27" i="2"/>
  <c r="I26" i="2"/>
  <c r="I25" i="2"/>
  <c r="I23" i="2"/>
  <c r="I24" i="2"/>
  <c r="J24" i="2" l="1"/>
  <c r="J23" i="2"/>
  <c r="J25" i="2"/>
  <c r="J26" i="2"/>
  <c r="J27" i="2"/>
  <c r="V42" i="2"/>
  <c r="V45" i="2"/>
  <c r="V44" i="2"/>
  <c r="V43" i="2"/>
  <c r="V11" i="2"/>
  <c r="I12" i="2"/>
  <c r="J12" i="2" s="1"/>
  <c r="P15" i="2" l="1"/>
  <c r="D15" i="2"/>
  <c r="V12" i="2"/>
  <c r="U27" i="2"/>
  <c r="U26" i="2"/>
  <c r="U25" i="2"/>
  <c r="U24" i="2"/>
  <c r="U23" i="2"/>
  <c r="I11" i="2"/>
  <c r="I44" i="2"/>
  <c r="I43" i="2"/>
  <c r="I42" i="2"/>
  <c r="I41" i="2"/>
  <c r="I40" i="2"/>
  <c r="I39" i="2"/>
  <c r="J11" i="2" l="1"/>
  <c r="V23" i="2"/>
  <c r="V24" i="2"/>
  <c r="V25" i="2"/>
  <c r="V26" i="2"/>
  <c r="V27" i="2"/>
  <c r="J39" i="2"/>
  <c r="J40" i="2"/>
  <c r="J41" i="2"/>
  <c r="J42" i="2"/>
  <c r="J43" i="2"/>
  <c r="J44" i="2"/>
</calcChain>
</file>

<file path=xl/sharedStrings.xml><?xml version="1.0" encoding="utf-8"?>
<sst xmlns="http://schemas.openxmlformats.org/spreadsheetml/2006/main" count="21369" uniqueCount="115">
  <si>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</si>
  <si>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</si>
  <si>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</si>
  <si>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</si>
  <si>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</si>
  <si>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</si>
  <si>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</si>
  <si>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</si>
  <si>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</si>
  <si>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</si>
  <si>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</si>
  <si>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</si>
  <si>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</si>
  <si>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</si>
  <si>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</si>
  <si>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</si>
  <si>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</si>
  <si>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</si>
  <si>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</si>
  <si>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</si>
  <si>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</si>
  <si>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</si>
  <si>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</si>
  <si>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</si>
  <si>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</si>
  <si>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</si>
  <si>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</si>
  <si>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</si>
  <si>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</si>
  <si>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</si>
  <si>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</si>
  <si>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</si>
  <si>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</si>
  <si>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</si>
  <si>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</si>
  <si>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</si>
  <si>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</si>
  <si>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</si>
  <si>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</si>
  <si>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</si>
  <si>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</si>
  <si>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</si>
  <si>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</si>
  <si>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</si>
  <si>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</si>
  <si>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</si>
  <si>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</si>
  <si>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</si>
  <si>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</si>
  <si>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</si>
  <si>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</si>
  <si>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</si>
  <si>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</si>
  <si>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</si>
  <si>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</si>
  <si>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</si>
  <si>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</si>
  <si>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</si>
  <si>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</si>
  <si>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</si>
  <si>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</si>
  <si>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</si>
  <si>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</si>
  <si>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</si>
  <si>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</si>
  <si>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</si>
  <si>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</si>
  <si>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</si>
  <si>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</si>
  <si>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</si>
  <si>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</si>
  <si>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</si>
  <si>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</si>
  <si>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</si>
  <si>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</si>
  <si>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</si>
  <si>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Grand Total</t>
  </si>
  <si>
    <t>Count of state</t>
  </si>
  <si>
    <t>Churn</t>
  </si>
  <si>
    <t>Vmail Plan</t>
  </si>
  <si>
    <t xml:space="preserve"> </t>
  </si>
  <si>
    <t>total contribution from int plan cust</t>
  </si>
  <si>
    <t>1-50</t>
  </si>
  <si>
    <t>51-100</t>
  </si>
  <si>
    <t>101-150</t>
  </si>
  <si>
    <t>151-200</t>
  </si>
  <si>
    <t>201-250</t>
  </si>
  <si>
    <t>25% of the customers belonging to 201-250 months cat had left the company</t>
  </si>
  <si>
    <t>Account age</t>
  </si>
  <si>
    <t>0-1</t>
  </si>
  <si>
    <t>1-2</t>
  </si>
  <si>
    <t>2-3</t>
  </si>
  <si>
    <t>3-4</t>
  </si>
  <si>
    <t>4-5</t>
  </si>
  <si>
    <t>5-6</t>
  </si>
  <si>
    <t>international charrges</t>
  </si>
  <si>
    <t>international plan ?</t>
  </si>
  <si>
    <t>6-7</t>
  </si>
  <si>
    <t>8-10</t>
  </si>
  <si>
    <t>International Plan</t>
  </si>
  <si>
    <t>Yes</t>
  </si>
  <si>
    <t>No</t>
  </si>
  <si>
    <t>Churn Rate%</t>
  </si>
  <si>
    <t>No of Service calls</t>
  </si>
  <si>
    <t>Churn Rate %</t>
  </si>
  <si>
    <t>Ratio</t>
  </si>
  <si>
    <t>Percentage</t>
  </si>
  <si>
    <t>International Plan vs Churn Rate</t>
  </si>
  <si>
    <t>Account Length vs Churn Rate</t>
  </si>
  <si>
    <t>Voice Mail Plan vs Churn Rate</t>
  </si>
  <si>
    <t>Total service calls made</t>
  </si>
  <si>
    <t>Total Service calls vs Churn Rate</t>
  </si>
  <si>
    <t>International Charges vs Churn Rate</t>
  </si>
  <si>
    <t>Total Service Calls vs Churn Rate with respect to International Plan</t>
  </si>
  <si>
    <r>
      <t xml:space="preserve">Total Churn Rate   </t>
    </r>
    <r>
      <rPr>
        <sz val="11"/>
        <color rgb="FFFF0000"/>
        <rFont val="Calibri"/>
        <family val="2"/>
      </rPr>
      <t>14.07%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</si>
</sst>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49" fontId="1" fillId="0" borderId="0" xfId="0" applyNumberFormat="1" applyFont="1"/>
    <xf numFmtId="10" fontId="0" fillId="0" borderId="0" xfId="0" applyNumberFormat="1"/>
    <xf numFmtId="0" fontId="2" fillId="6" borderId="0" xfId="0" applyFont="1" applyFill="1"/>
    <xf numFmtId="0" fontId="2" fillId="0" borderId="0" xfId="0" applyFont="1"/>
    <xf numFmtId="0" fontId="0" fillId="6" borderId="0" xfId="0" applyFill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9"/>
  <colors>
    <mruColors>
      <color rgb="FFF28E28"/>
      <color rgb="FF4B5563"/>
      <color rgb="FF1F4E79"/>
      <color rgb="FF163A5F"/>
      <color rgb="FFD9E2EC"/>
      <color rgb="FFF5F7FA"/>
      <color rgb="FFF28E2B"/>
      <color rgb="FF4BC58F"/>
      <color rgb="FFFDFDFE"/>
      <color rgb="FFE9E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International Plan Churn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Tables'!$K$54</c:f>
              <c:strCache>
                <c:ptCount val="1"/>
                <c:pt idx="0">
                  <c:v>Churn Rate%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28E2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6A-4DD1-851C-CA70B54797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Tables'!$J$55:$J$56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Tables'!$K$55:$K$56</c:f>
              <c:numCache>
                <c:formatCode>0.00%</c:formatCode>
                <c:ptCount val="2"/>
                <c:pt idx="0">
                  <c:v>0.42170000000000002</c:v>
                </c:pt>
                <c:pt idx="1">
                  <c:v>0.1118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A-4DD1-851C-CA70B5479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975640"/>
        <c:axId val="719976360"/>
      </c:barChart>
      <c:catAx>
        <c:axId val="71997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76360"/>
        <c:crosses val="autoZero"/>
        <c:auto val="1"/>
        <c:lblAlgn val="ctr"/>
        <c:lblOffset val="100"/>
        <c:noMultiLvlLbl val="0"/>
      </c:catAx>
      <c:valAx>
        <c:axId val="71997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75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2E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No of Service Calls Churn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Tables'!$P$54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28E2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CE-434E-924D-4E8C7FAD13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Tables'!$O$55:$O$57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'Pivot Tables'!$P$55:$P$57</c:f>
              <c:numCache>
                <c:formatCode>0.00%</c:formatCode>
                <c:ptCount val="3"/>
                <c:pt idx="0">
                  <c:v>0.1091</c:v>
                </c:pt>
                <c:pt idx="1">
                  <c:v>0.1096</c:v>
                </c:pt>
                <c:pt idx="2">
                  <c:v>0.48620000000000002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E-434E-924D-4E8C7FAD1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2466424"/>
        <c:axId val="912468584"/>
      </c:barChart>
      <c:catAx>
        <c:axId val="91246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68584"/>
        <c:crosses val="autoZero"/>
        <c:auto val="1"/>
        <c:lblAlgn val="ctr"/>
        <c:lblOffset val="100"/>
        <c:noMultiLvlLbl val="0"/>
      </c:catAx>
      <c:valAx>
        <c:axId val="91246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66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2E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0</xdr:rowOff>
    </xdr:from>
    <xdr:to>
      <xdr:col>25</xdr:col>
      <xdr:colOff>9525</xdr:colOff>
      <xdr:row>39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E579B91-5D93-398B-29E4-97BAE3D6B173}"/>
            </a:ext>
          </a:extLst>
        </xdr:cNvPr>
        <xdr:cNvSpPr/>
      </xdr:nvSpPr>
      <xdr:spPr>
        <a:xfrm>
          <a:off x="2609850" y="0"/>
          <a:ext cx="12639675" cy="7448550"/>
        </a:xfrm>
        <a:prstGeom prst="rect">
          <a:avLst/>
        </a:prstGeom>
        <a:solidFill>
          <a:srgbClr val="F5F7FA"/>
        </a:solidFill>
        <a:ln w="19050">
          <a:solidFill>
            <a:srgbClr val="D9E2E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5</xdr:row>
      <xdr:rowOff>85725</xdr:rowOff>
    </xdr:from>
    <xdr:to>
      <xdr:col>24</xdr:col>
      <xdr:colOff>19050</xdr:colOff>
      <xdr:row>10</xdr:row>
      <xdr:rowOff>114300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4F0FED36-B368-AACB-4F48-9F5BFFE19E19}"/>
            </a:ext>
          </a:extLst>
        </xdr:cNvPr>
        <xdr:cNvGrpSpPr/>
      </xdr:nvGrpSpPr>
      <xdr:grpSpPr>
        <a:xfrm>
          <a:off x="3209925" y="1038225"/>
          <a:ext cx="11439525" cy="981075"/>
          <a:chOff x="3829049" y="1000125"/>
          <a:chExt cx="10315576" cy="9810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3C422AF-6D88-3066-BF74-628D1CC9A681}"/>
              </a:ext>
            </a:extLst>
          </xdr:cNvPr>
          <xdr:cNvSpPr/>
        </xdr:nvSpPr>
        <xdr:spPr>
          <a:xfrm>
            <a:off x="3829049" y="1000125"/>
            <a:ext cx="2867025" cy="981075"/>
          </a:xfrm>
          <a:prstGeom prst="roundRect">
            <a:avLst/>
          </a:prstGeom>
          <a:solidFill>
            <a:srgbClr val="1F4E7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0"/>
              <a:t>CHURN RATE</a:t>
            </a:r>
          </a:p>
          <a:p>
            <a:pPr algn="l"/>
            <a:r>
              <a:rPr lang="en-US" sz="3200" b="1"/>
              <a:t>14.07%</a:t>
            </a:r>
          </a:p>
          <a:p>
            <a:pPr algn="l"/>
            <a:endParaRPr lang="en-US" sz="2400" b="1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67E46C9-9D95-B82A-DB49-A51EF60D74F6}"/>
              </a:ext>
            </a:extLst>
          </xdr:cNvPr>
          <xdr:cNvSpPr/>
        </xdr:nvSpPr>
        <xdr:spPr>
          <a:xfrm>
            <a:off x="11325225" y="1000125"/>
            <a:ext cx="2819400" cy="981075"/>
          </a:xfrm>
          <a:prstGeom prst="roundRect">
            <a:avLst/>
          </a:prstGeom>
          <a:solidFill>
            <a:srgbClr val="F28E2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/>
              <a:t>INTERNATIONAL</a:t>
            </a:r>
            <a:r>
              <a:rPr lang="en-US" sz="1600" baseline="0"/>
              <a:t> PLAN CHURN</a:t>
            </a:r>
          </a:p>
          <a:p>
            <a:pPr algn="l"/>
            <a:r>
              <a:rPr lang="en-US" sz="3200" b="1" baseline="0"/>
              <a:t>42.17%</a:t>
            </a:r>
            <a:endParaRPr lang="en-US" sz="3200" b="1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E03CE118-3F0C-9A1F-2C9A-D7FD2FA4A683}"/>
              </a:ext>
            </a:extLst>
          </xdr:cNvPr>
          <xdr:cNvSpPr/>
        </xdr:nvSpPr>
        <xdr:spPr>
          <a:xfrm>
            <a:off x="7677149" y="1000125"/>
            <a:ext cx="2828925" cy="981075"/>
          </a:xfrm>
          <a:prstGeom prst="roundRect">
            <a:avLst/>
          </a:prstGeom>
          <a:solidFill>
            <a:srgbClr val="1F4E7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/>
              <a:t>4-5 SERVICE CALLS CHURN</a:t>
            </a:r>
          </a:p>
          <a:p>
            <a:pPr algn="l"/>
            <a:r>
              <a:rPr lang="en-US" sz="3200" b="1"/>
              <a:t>48.62%</a:t>
            </a:r>
          </a:p>
        </xdr:txBody>
      </xdr:sp>
    </xdr:grpSp>
    <xdr:clientData/>
  </xdr:twoCellAnchor>
  <xdr:twoCellAnchor>
    <xdr:from>
      <xdr:col>5</xdr:col>
      <xdr:colOff>180974</xdr:colOff>
      <xdr:row>12</xdr:row>
      <xdr:rowOff>104775</xdr:rowOff>
    </xdr:from>
    <xdr:to>
      <xdr:col>23</xdr:col>
      <xdr:colOff>590550</xdr:colOff>
      <xdr:row>26</xdr:row>
      <xdr:rowOff>85725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5E5526D-3BDD-348F-10BD-0393B7B5ECC4}"/>
            </a:ext>
          </a:extLst>
        </xdr:cNvPr>
        <xdr:cNvGrpSpPr/>
      </xdr:nvGrpSpPr>
      <xdr:grpSpPr>
        <a:xfrm>
          <a:off x="3228974" y="2390775"/>
          <a:ext cx="11382376" cy="2619375"/>
          <a:chOff x="3238499" y="2295525"/>
          <a:chExt cx="11382376" cy="2619375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49BD84E0-70DD-4BE3-BD9B-E2FEB0C97B9F}"/>
              </a:ext>
            </a:extLst>
          </xdr:cNvPr>
          <xdr:cNvGraphicFramePr>
            <a:graphicFrameLocks/>
          </xdr:cNvGraphicFramePr>
        </xdr:nvGraphicFramePr>
        <xdr:xfrm>
          <a:off x="3238499" y="2295525"/>
          <a:ext cx="4724402" cy="26193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87EA9F95-7A63-4AB5-A7B4-866EDD7CC8BE}"/>
              </a:ext>
            </a:extLst>
          </xdr:cNvPr>
          <xdr:cNvGraphicFramePr>
            <a:graphicFrameLocks/>
          </xdr:cNvGraphicFramePr>
        </xdr:nvGraphicFramePr>
        <xdr:xfrm>
          <a:off x="8658225" y="2305050"/>
          <a:ext cx="5962650" cy="2609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</xdr:col>
      <xdr:colOff>95250</xdr:colOff>
      <xdr:row>27</xdr:row>
      <xdr:rowOff>95250</xdr:rowOff>
    </xdr:from>
    <xdr:to>
      <xdr:col>23</xdr:col>
      <xdr:colOff>561976</xdr:colOff>
      <xdr:row>38</xdr:row>
      <xdr:rowOff>95246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A6B2170-B9B0-FDBA-0F26-012806A07AE7}"/>
            </a:ext>
          </a:extLst>
        </xdr:cNvPr>
        <xdr:cNvGrpSpPr/>
      </xdr:nvGrpSpPr>
      <xdr:grpSpPr>
        <a:xfrm>
          <a:off x="3143250" y="5210175"/>
          <a:ext cx="11439526" cy="2095496"/>
          <a:chOff x="3143250" y="5534025"/>
          <a:chExt cx="11439526" cy="1619259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117FA4A8-5E2A-8E0C-3E00-59A9A01C9DFC}"/>
              </a:ext>
            </a:extLst>
          </xdr:cNvPr>
          <xdr:cNvSpPr/>
        </xdr:nvSpPr>
        <xdr:spPr>
          <a:xfrm>
            <a:off x="3143250" y="5534032"/>
            <a:ext cx="6343650" cy="1619252"/>
          </a:xfrm>
          <a:prstGeom prst="roundRect">
            <a:avLst/>
          </a:prstGeom>
          <a:solidFill>
            <a:schemeClr val="bg1"/>
          </a:solidFill>
          <a:ln w="12700">
            <a:solidFill>
              <a:srgbClr val="D9E2EC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r>
              <a:rPr lang="en-US" sz="1200">
                <a:solidFill>
                  <a:srgbClr val="4B556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• Overall customer churn rate is 14.07%.</a:t>
            </a:r>
          </a:p>
          <a:p>
            <a:pPr algn="l"/>
            <a:r>
              <a:rPr lang="en-US" sz="1200">
                <a:solidFill>
                  <a:srgbClr val="4B556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•</a:t>
            </a:r>
            <a:r>
              <a:rPr lang="en-US" sz="1200" baseline="0">
                <a:solidFill>
                  <a:srgbClr val="4B556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Customers with International Plans exhibit a churn rate of 42.17%, nearly 3× the overall churn rate.</a:t>
            </a:r>
            <a:endParaRPr lang="en-US" sz="1200">
              <a:solidFill>
                <a:srgbClr val="4B556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n-US" sz="1200">
                <a:solidFill>
                  <a:srgbClr val="4B556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• Customers making 4–5 customer service calls show the highest reliable churn rate (48.62%).</a:t>
            </a:r>
          </a:p>
          <a:p>
            <a:pPr algn="l"/>
            <a:r>
              <a:rPr lang="en-US" sz="1200">
                <a:solidFill>
                  <a:srgbClr val="4B556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• Churn increases as customer-service interactions increase, indicating potential dissatisfaction.</a:t>
            </a:r>
            <a:endParaRPr lang="en-US" sz="120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n-US" sz="1100"/>
              <a:t>• Customers with International Plans exhibit significantly higher churn (42.17%).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Customers making 4–5 customer service calls show the highest reliable churn rate (48.62%).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Churn increases as customer-service interactions increase, indicating potential dissatisfaction. customer churn rate is 14.07%.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Customers with International Plans exhibit significantly higher churn (42.17%).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Customers making 4–5 customer service calls show the highest reliable churn rate (48.62%).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Churn increases as customer-service interactions increase, indicating potential dissatisfaction.</a:t>
            </a:r>
          </a:p>
          <a:p>
            <a:pPr algn="l"/>
            <a:r>
              <a:rPr lang="en-US" sz="1100"/>
              <a:t>• Customers with International Plans exhibit significantly higher churn (42.17%).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Customers making 4–5 customer service calls show the highest reliable churn rate (48.62%).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Churn increases as customer-service interactions increase, indicating potential dissatisfaction.Overall customer churn rate is 14.07%.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Customers with International Plans exhibit significantly higher churn (42.17%).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Customers making 4–5 customer service calls show the highest reliable churn rate (48.62%).</a:t>
            </a:r>
          </a:p>
          <a:p>
            <a:pPr algn="l"/>
            <a:endParaRPr lang="en-US" sz="1100"/>
          </a:p>
          <a:p>
            <a:pPr algn="l"/>
            <a:r>
              <a:rPr lang="en-US" sz="1100"/>
              <a:t>• Churn increases as customer-service interactions increase, indicating potential dissatisfaction.</a:t>
            </a:r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B2DF9B23-1AF6-1D62-B746-8F9BB4CC1A7C}"/>
              </a:ext>
            </a:extLst>
          </xdr:cNvPr>
          <xdr:cNvSpPr/>
        </xdr:nvSpPr>
        <xdr:spPr>
          <a:xfrm>
            <a:off x="9696450" y="5534025"/>
            <a:ext cx="4886326" cy="1619250"/>
          </a:xfrm>
          <a:prstGeom prst="roundRect">
            <a:avLst/>
          </a:prstGeom>
          <a:solidFill>
            <a:schemeClr val="bg1"/>
          </a:solidFill>
          <a:ln w="12700">
            <a:solidFill>
              <a:srgbClr val="D9E2EC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  <a:p>
            <a:pPr algn="l"/>
            <a:endParaRPr lang="en-US" sz="1200">
              <a:solidFill>
                <a:srgbClr val="4B5563"/>
              </a:solidFill>
            </a:endParaRPr>
          </a:p>
          <a:p>
            <a:pPr algn="l"/>
            <a:r>
              <a:rPr lang="en-US" sz="1200">
                <a:solidFill>
                  <a:srgbClr val="4B5563"/>
                </a:solidFill>
              </a:rPr>
              <a:t>• Review International Plan pricing, value proposition, and customer   experience.</a:t>
            </a:r>
          </a:p>
          <a:p>
            <a:pPr algn="l"/>
            <a:r>
              <a:rPr lang="en-US" sz="1200">
                <a:solidFill>
                  <a:srgbClr val="4B5563"/>
                </a:solidFill>
              </a:rPr>
              <a:t>• Improve first-contact issue resolution within customer support.</a:t>
            </a:r>
          </a:p>
          <a:p>
            <a:pPr algn="l"/>
            <a:r>
              <a:rPr lang="en-US" sz="1200">
                <a:solidFill>
                  <a:srgbClr val="4B5563"/>
                </a:solidFill>
              </a:rPr>
              <a:t>• Monitor customers with repeated customer-service interactions.</a:t>
            </a:r>
          </a:p>
          <a:p>
            <a:pPr algn="l"/>
            <a:r>
              <a:rPr lang="en-US" sz="1200">
                <a:solidFill>
                  <a:srgbClr val="4B5563"/>
                </a:solidFill>
              </a:rPr>
              <a:t>• Launch retention campaigns for high-risk International Plan customers</a:t>
            </a:r>
            <a:r>
              <a:rPr lang="en-US" sz="1200"/>
              <a:t>.</a:t>
            </a:r>
          </a:p>
        </xdr:txBody>
      </xdr:sp>
    </xdr:grpSp>
    <xdr:clientData/>
  </xdr:twoCellAnchor>
  <xdr:twoCellAnchor>
    <xdr:from>
      <xdr:col>10</xdr:col>
      <xdr:colOff>285750</xdr:colOff>
      <xdr:row>0</xdr:row>
      <xdr:rowOff>152400</xdr:rowOff>
    </xdr:from>
    <xdr:to>
      <xdr:col>18</xdr:col>
      <xdr:colOff>390525</xdr:colOff>
      <xdr:row>3</xdr:row>
      <xdr:rowOff>95250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2648C79-5714-E4DB-C6BB-D9962FBF5F3B}"/>
            </a:ext>
          </a:extLst>
        </xdr:cNvPr>
        <xdr:cNvSpPr/>
      </xdr:nvSpPr>
      <xdr:spPr>
        <a:xfrm>
          <a:off x="6381750" y="152400"/>
          <a:ext cx="4981575" cy="514350"/>
        </a:xfrm>
        <a:prstGeom prst="roundRect">
          <a:avLst/>
        </a:prstGeom>
        <a:gradFill>
          <a:gsLst>
            <a:gs pos="79000">
              <a:srgbClr val="163A5F"/>
            </a:gs>
            <a:gs pos="10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200" b="1">
              <a:latin typeface="Franklin Gothic Book" panose="020B0503020102020204" pitchFamily="34" charset="0"/>
              <a:cs typeface="Segoe UI" panose="020B0502040204020203" pitchFamily="34" charset="0"/>
            </a:rPr>
            <a:t>TELECOM CUSTOMER</a:t>
          </a:r>
          <a:r>
            <a:rPr lang="en-US" sz="2200" b="1" baseline="0">
              <a:latin typeface="Franklin Gothic Book" panose="020B0503020102020204" pitchFamily="34" charset="0"/>
              <a:cs typeface="Segoe UI" panose="020B0502040204020203" pitchFamily="34" charset="0"/>
            </a:rPr>
            <a:t> CHURN ANALYSIS</a:t>
          </a:r>
          <a:endParaRPr lang="en-US" sz="2200" b="1">
            <a:latin typeface="Franklin Gothic Book" panose="020B05030201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409575</xdr:colOff>
      <xdr:row>28</xdr:row>
      <xdr:rowOff>66675</xdr:rowOff>
    </xdr:from>
    <xdr:to>
      <xdr:col>7</xdr:col>
      <xdr:colOff>352425</xdr:colOff>
      <xdr:row>29</xdr:row>
      <xdr:rowOff>142875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8D5BBE0-0755-5FAD-301E-D5E0FF54E7D6}"/>
            </a:ext>
          </a:extLst>
        </xdr:cNvPr>
        <xdr:cNvSpPr/>
      </xdr:nvSpPr>
      <xdr:spPr>
        <a:xfrm>
          <a:off x="3457575" y="5372100"/>
          <a:ext cx="1162050" cy="266700"/>
        </a:xfrm>
        <a:prstGeom prst="roundRect">
          <a:avLst/>
        </a:prstGeom>
        <a:solidFill>
          <a:srgbClr val="1F4E7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/>
            <a:t>KEY</a:t>
          </a:r>
          <a:r>
            <a:rPr lang="en-US" sz="1300" b="1" baseline="0"/>
            <a:t> INSIGHTS</a:t>
          </a:r>
          <a:endParaRPr lang="en-US" sz="1300" b="1"/>
        </a:p>
      </xdr:txBody>
    </xdr:sp>
    <xdr:clientData/>
  </xdr:twoCellAnchor>
  <xdr:twoCellAnchor>
    <xdr:from>
      <xdr:col>16</xdr:col>
      <xdr:colOff>190500</xdr:colOff>
      <xdr:row>28</xdr:row>
      <xdr:rowOff>66675</xdr:rowOff>
    </xdr:from>
    <xdr:to>
      <xdr:col>19</xdr:col>
      <xdr:colOff>76200</xdr:colOff>
      <xdr:row>29</xdr:row>
      <xdr:rowOff>152400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708C53C0-B527-C277-0E30-C154E965D322}"/>
            </a:ext>
          </a:extLst>
        </xdr:cNvPr>
        <xdr:cNvSpPr/>
      </xdr:nvSpPr>
      <xdr:spPr>
        <a:xfrm>
          <a:off x="9944100" y="5372100"/>
          <a:ext cx="1714500" cy="276225"/>
        </a:xfrm>
        <a:prstGeom prst="roundRect">
          <a:avLst/>
        </a:prstGeom>
        <a:solidFill>
          <a:srgbClr val="F28E2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/>
            <a:t>RECOMMENDATIONS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6.636647685184" createdVersion="8" refreshedVersion="8" minRefreshableVersion="3" recordCount="4250" xr:uid="{8645A9A8-925B-40AE-AC07-267FA8C031BF}">
  <cacheSource type="worksheet">
    <worksheetSource name="Table1"/>
  </cacheSource>
  <cacheFields count="20">
    <cacheField name="state" numFmtId="0">
      <sharedItems/>
    </cacheField>
    <cacheField name="account_length" numFmtId="0">
      <sharedItems containsSemiMixedTypes="0" containsString="0" containsNumber="1" containsInteger="1" minValue="1" maxValue="243" count="215">
        <n v="107"/>
        <n v="137"/>
        <n v="84"/>
        <n v="75"/>
        <n v="121"/>
        <n v="147"/>
        <n v="117"/>
        <n v="141"/>
        <n v="65"/>
        <n v="74"/>
        <n v="168"/>
        <n v="95"/>
        <n v="161"/>
        <n v="85"/>
        <n v="76"/>
        <n v="73"/>
        <n v="77"/>
        <n v="130"/>
        <n v="111"/>
        <n v="132"/>
        <n v="57"/>
        <n v="54"/>
        <n v="20"/>
        <n v="49"/>
        <n v="12"/>
        <n v="36"/>
        <n v="78"/>
        <n v="136"/>
        <n v="98"/>
        <n v="135"/>
        <n v="34"/>
        <n v="160"/>
        <n v="64"/>
        <n v="59"/>
        <n v="142"/>
        <n v="97"/>
        <n v="52"/>
        <n v="60"/>
        <n v="10"/>
        <n v="96"/>
        <n v="81"/>
        <n v="125"/>
        <n v="174"/>
        <n v="116"/>
        <n v="149"/>
        <n v="38"/>
        <n v="40"/>
        <n v="43"/>
        <n v="113"/>
        <n v="126"/>
        <n v="150"/>
        <n v="138"/>
        <n v="162"/>
        <n v="90"/>
        <n v="50"/>
        <n v="82"/>
        <n v="144"/>
        <n v="46"/>
        <n v="70"/>
        <n v="128"/>
        <n v="94"/>
        <n v="155"/>
        <n v="80"/>
        <n v="99"/>
        <n v="120"/>
        <n v="108"/>
        <n v="122"/>
        <n v="93"/>
        <n v="157"/>
        <n v="63"/>
        <n v="41"/>
        <n v="193"/>
        <n v="61"/>
        <n v="92"/>
        <n v="163"/>
        <n v="91"/>
        <n v="127"/>
        <n v="110"/>
        <n v="103"/>
        <n v="145"/>
        <n v="56"/>
        <n v="151"/>
        <n v="83"/>
        <n v="139"/>
        <n v="6"/>
        <n v="115"/>
        <n v="62"/>
        <n v="185"/>
        <n v="148"/>
        <n v="32"/>
        <n v="68"/>
        <n v="25"/>
        <n v="179"/>
        <n v="67"/>
        <n v="19"/>
        <n v="170"/>
        <n v="106"/>
        <n v="51"/>
        <n v="118"/>
        <n v="208"/>
        <n v="131"/>
        <n v="53"/>
        <n v="105"/>
        <n v="66"/>
        <n v="35"/>
        <n v="88"/>
        <n v="123"/>
        <n v="45"/>
        <n v="100"/>
        <n v="215"/>
        <n v="22"/>
        <n v="33"/>
        <n v="86"/>
        <n v="114"/>
        <n v="24"/>
        <n v="119"/>
        <n v="101"/>
        <n v="146"/>
        <n v="143"/>
        <n v="48"/>
        <n v="167"/>
        <n v="89"/>
        <n v="199"/>
        <n v="166"/>
        <n v="158"/>
        <n v="196"/>
        <n v="112"/>
        <n v="209"/>
        <n v="16"/>
        <n v="39"/>
        <n v="104"/>
        <n v="129"/>
        <n v="55"/>
        <n v="44"/>
        <n v="79"/>
        <n v="159"/>
        <n v="194"/>
        <n v="87"/>
        <n v="21"/>
        <n v="133"/>
        <n v="224"/>
        <n v="140"/>
        <n v="58"/>
        <n v="109"/>
        <n v="71"/>
        <n v="72"/>
        <n v="124"/>
        <n v="102"/>
        <n v="165"/>
        <n v="18"/>
        <n v="30"/>
        <n v="190"/>
        <n v="47"/>
        <n v="152"/>
        <n v="26"/>
        <n v="69"/>
        <n v="31"/>
        <n v="186"/>
        <n v="171"/>
        <n v="28"/>
        <n v="153"/>
        <n v="172"/>
        <n v="169"/>
        <n v="13"/>
        <n v="189"/>
        <n v="176"/>
        <n v="156"/>
        <n v="37"/>
        <n v="27"/>
        <n v="134"/>
        <n v="243"/>
        <n v="42"/>
        <n v="23"/>
        <n v="1"/>
        <n v="200"/>
        <n v="5"/>
        <n v="178"/>
        <n v="181"/>
        <n v="182"/>
        <n v="217"/>
        <n v="164"/>
        <n v="177"/>
        <n v="11"/>
        <n v="9"/>
        <n v="173"/>
        <n v="154"/>
        <n v="29"/>
        <n v="180"/>
        <n v="3"/>
        <n v="2"/>
        <n v="7"/>
        <n v="232"/>
        <n v="192"/>
        <n v="195"/>
        <n v="197"/>
        <n v="225"/>
        <n v="191"/>
        <n v="201"/>
        <n v="15"/>
        <n v="17"/>
        <n v="183"/>
        <n v="212"/>
        <n v="210"/>
        <n v="175"/>
        <n v="4"/>
        <n v="184"/>
        <n v="188"/>
        <n v="204"/>
        <n v="221"/>
        <n v="187"/>
        <n v="14"/>
        <n v="216"/>
        <n v="222"/>
        <n v="8"/>
        <n v="202"/>
      </sharedItems>
      <fieldGroup base="1">
        <rangePr startNum="1" endNum="243" groupInterval="50"/>
        <groupItems count="7">
          <s v="&lt;1"/>
          <s v="1-50"/>
          <s v="51-100"/>
          <s v="101-150"/>
          <s v="151-200"/>
          <s v="201-250"/>
          <s v="&gt;251"/>
        </groupItems>
      </fieldGroup>
    </cacheField>
    <cacheField name="area_code" numFmtId="0">
      <sharedItems/>
    </cacheField>
    <cacheField name="international_plan" numFmtId="0">
      <sharedItems count="2">
        <s v="no"/>
        <s v="yes"/>
      </sharedItems>
    </cacheField>
    <cacheField name="voice_mail_plan" numFmtId="0">
      <sharedItems count="2">
        <s v="yes"/>
        <s v="no"/>
      </sharedItems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/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/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 count="168">
        <n v="13.7"/>
        <n v="12.2"/>
        <n v="6.6"/>
        <n v="10.1"/>
        <n v="7.5"/>
        <n v="7.1"/>
        <n v="8.6999999999999993"/>
        <n v="11.2"/>
        <n v="12.7"/>
        <n v="9.1"/>
        <n v="12.3"/>
        <n v="5.4"/>
        <n v="13.8"/>
        <n v="10"/>
        <n v="13"/>
        <n v="10.6"/>
        <n v="5.7"/>
        <n v="9.5"/>
        <n v="7.7"/>
        <n v="10.3"/>
        <n v="14.7"/>
        <n v="6.3"/>
        <n v="11.1"/>
        <n v="11.8"/>
        <n v="8.3000000000000007"/>
        <n v="14.5"/>
        <n v="10.5"/>
        <n v="9.4"/>
        <n v="14.6"/>
        <n v="9.1999999999999993"/>
        <n v="3.5"/>
        <n v="8.5"/>
        <n v="13.2"/>
        <n v="7.4"/>
        <n v="11"/>
        <n v="7.8"/>
        <n v="6.8"/>
        <n v="11.4"/>
        <n v="9.3000000000000007"/>
        <n v="10.199999999999999"/>
        <n v="8"/>
        <n v="5.8"/>
        <n v="12"/>
        <n v="11.6"/>
        <n v="12.6"/>
        <n v="8.1999999999999993"/>
        <n v="6.2"/>
        <n v="12.1"/>
        <n v="7.3"/>
        <n v="6.1"/>
        <n v="11.7"/>
        <n v="15"/>
        <n v="9.8000000000000007"/>
        <n v="8.6"/>
        <n v="10.9"/>
        <n v="13.9"/>
        <n v="8.9"/>
        <n v="7.9"/>
        <n v="5.3"/>
        <n v="4.4000000000000004"/>
        <n v="12.5"/>
        <n v="11.3"/>
        <n v="9"/>
        <n v="9.6"/>
        <n v="13.3"/>
        <n v="20"/>
        <n v="14.2"/>
        <n v="13.1"/>
        <n v="7.2"/>
        <n v="6.4"/>
        <n v="12.4"/>
        <n v="14.1"/>
        <n v="6.9"/>
        <n v="11.5"/>
        <n v="15.8"/>
        <n v="12.8"/>
        <n v="16.2"/>
        <n v="0"/>
        <n v="11.9"/>
        <n v="9.9"/>
        <n v="8.4"/>
        <n v="10.8"/>
        <n v="8.8000000000000007"/>
        <n v="13.4"/>
        <n v="9.6999999999999993"/>
        <n v="10.7"/>
        <n v="4.7"/>
        <n v="2.7"/>
        <n v="13.5"/>
        <n v="12.9"/>
        <n v="14.4"/>
        <n v="10.4"/>
        <n v="6.7"/>
        <n v="15.4"/>
        <n v="6.5"/>
        <n v="15.6"/>
        <n v="5.9"/>
        <n v="18.899999999999999"/>
        <n v="7.6"/>
        <n v="7"/>
        <n v="14"/>
        <n v="18"/>
        <n v="14.8"/>
        <n v="3.7"/>
        <n v="4.8"/>
        <n v="5"/>
        <n v="16"/>
        <n v="15.3"/>
        <n v="14.3"/>
        <n v="13.6"/>
        <n v="17.2"/>
        <n v="8.1"/>
        <n v="17.5"/>
        <n v="5.6"/>
        <n v="18.2"/>
        <n v="3.6"/>
        <n v="16.5"/>
        <n v="4.5999999999999996"/>
        <n v="5.0999999999999996"/>
        <n v="4.0999999999999996"/>
        <n v="6"/>
        <n v="15.5"/>
        <n v="16.3"/>
        <n v="16.399999999999999"/>
        <n v="16.7"/>
        <n v="1.3"/>
        <n v="15.2"/>
        <n v="15.1"/>
        <n v="15.9"/>
        <n v="5.5"/>
        <n v="14.9"/>
        <n v="4"/>
        <n v="16.899999999999999"/>
        <n v="5.2"/>
        <n v="4.2"/>
        <n v="15.7"/>
        <n v="3.8"/>
        <n v="16.100000000000001"/>
        <n v="2.2000000000000002"/>
        <n v="17.100000000000001"/>
        <n v="4.9000000000000004"/>
        <n v="4.5"/>
        <n v="17.899999999999999"/>
        <n v="17.3"/>
        <n v="18.399999999999999"/>
        <n v="2"/>
        <n v="4.3"/>
        <n v="2.9"/>
        <n v="17.600000000000001"/>
        <n v="2.6"/>
        <n v="3.4"/>
        <n v="1.1000000000000001"/>
        <n v="3.3"/>
        <n v="17"/>
        <n v="18.3"/>
        <n v="16.600000000000001"/>
        <n v="2.1"/>
        <n v="2.4"/>
        <n v="2.5"/>
        <n v="3.9"/>
        <n v="17.8"/>
        <n v="16.8"/>
        <n v="0.4"/>
        <n v="19.3"/>
        <n v="19.2"/>
        <n v="19.7"/>
        <n v="18.5"/>
        <n v="17.7"/>
      </sharedItems>
      <fieldGroup base="15">
        <rangePr autoStart="0" startNum="1" endNum="20" groupInterval="4"/>
        <groupItems count="7">
          <s v="&lt;1"/>
          <s v="1-5"/>
          <s v="5-9"/>
          <s v="9-13"/>
          <s v="13-17"/>
          <s v="17-21"/>
          <s v="&gt;21"/>
        </groupItems>
      </fieldGroup>
    </cacheField>
    <cacheField name="total_intl_calls" numFmtId="0">
      <sharedItems containsSemiMixedTypes="0" containsString="0" containsNumber="1" containsInteger="1" minValue="0" maxValue="20" count="21">
        <n v="3"/>
        <n v="5"/>
        <n v="7"/>
        <n v="6"/>
        <n v="4"/>
        <n v="2"/>
        <n v="9"/>
        <n v="19"/>
        <n v="1"/>
        <n v="15"/>
        <n v="8"/>
        <n v="10"/>
        <n v="11"/>
        <n v="0"/>
        <n v="12"/>
        <n v="13"/>
        <n v="18"/>
        <n v="14"/>
        <n v="16"/>
        <n v="20"/>
        <n v="17"/>
      </sharedItems>
    </cacheField>
    <cacheField name="total_intl_charge" numFmtId="0">
      <sharedItems containsSemiMixedTypes="0" containsString="0" containsNumber="1" minValue="0" maxValue="5.4" count="168">
        <n v="3.7"/>
        <n v="3.29"/>
        <n v="1.78"/>
        <n v="2.73"/>
        <n v="2.0299999999999998"/>
        <n v="1.92"/>
        <n v="2.35"/>
        <n v="3.02"/>
        <n v="3.43"/>
        <n v="2.46"/>
        <n v="3.32"/>
        <n v="1.46"/>
        <n v="3.73"/>
        <n v="2.7"/>
        <n v="3.51"/>
        <n v="2.86"/>
        <n v="1.54"/>
        <n v="2.57"/>
        <n v="2.08"/>
        <n v="2.78"/>
        <n v="3.97"/>
        <n v="1.7"/>
        <n v="3"/>
        <n v="3.19"/>
        <n v="2.2400000000000002"/>
        <n v="3.92"/>
        <n v="2.84"/>
        <n v="2.54"/>
        <n v="3.94"/>
        <n v="2.48"/>
        <n v="0.95"/>
        <n v="2.2999999999999998"/>
        <n v="3.56"/>
        <n v="2"/>
        <n v="2.97"/>
        <n v="2.11"/>
        <n v="1.84"/>
        <n v="3.08"/>
        <n v="2.5099999999999998"/>
        <n v="2.75"/>
        <n v="2.16"/>
        <n v="1.57"/>
        <n v="3.24"/>
        <n v="3.13"/>
        <n v="3.4"/>
        <n v="2.21"/>
        <n v="1.67"/>
        <n v="3.27"/>
        <n v="1.97"/>
        <n v="1.65"/>
        <n v="3.16"/>
        <n v="4.05"/>
        <n v="2.65"/>
        <n v="2.3199999999999998"/>
        <n v="2.94"/>
        <n v="3.75"/>
        <n v="2.4"/>
        <n v="2.13"/>
        <n v="1.43"/>
        <n v="1.19"/>
        <n v="3.38"/>
        <n v="3.05"/>
        <n v="2.4300000000000002"/>
        <n v="2.59"/>
        <n v="3.59"/>
        <n v="5.4"/>
        <n v="3.83"/>
        <n v="3.54"/>
        <n v="1.94"/>
        <n v="1.73"/>
        <n v="3.35"/>
        <n v="3.81"/>
        <n v="1.86"/>
        <n v="3.11"/>
        <n v="4.2699999999999996"/>
        <n v="3.46"/>
        <n v="4.37"/>
        <n v="0"/>
        <n v="3.21"/>
        <n v="2.67"/>
        <n v="2.27"/>
        <n v="2.92"/>
        <n v="2.38"/>
        <n v="3.62"/>
        <n v="2.62"/>
        <n v="2.89"/>
        <n v="1.27"/>
        <n v="0.73"/>
        <n v="3.65"/>
        <n v="3.48"/>
        <n v="3.89"/>
        <n v="2.81"/>
        <n v="1.81"/>
        <n v="4.16"/>
        <n v="1.76"/>
        <n v="4.21"/>
        <n v="1.59"/>
        <n v="5.0999999999999996"/>
        <n v="2.0499999999999998"/>
        <n v="1.89"/>
        <n v="3.78"/>
        <n v="4.8600000000000003"/>
        <n v="4"/>
        <n v="1"/>
        <n v="1.3"/>
        <n v="1.35"/>
        <n v="4.32"/>
        <n v="4.13"/>
        <n v="3.86"/>
        <n v="3.67"/>
        <n v="4.6399999999999997"/>
        <n v="2.19"/>
        <n v="4.7300000000000004"/>
        <n v="1.51"/>
        <n v="4.91"/>
        <n v="0.97"/>
        <n v="4.46"/>
        <n v="1.24"/>
        <n v="1.38"/>
        <n v="1.1100000000000001"/>
        <n v="1.62"/>
        <n v="4.1900000000000004"/>
        <n v="4.4000000000000004"/>
        <n v="4.43"/>
        <n v="4.51"/>
        <n v="0.35"/>
        <n v="4.0999999999999996"/>
        <n v="4.08"/>
        <n v="4.29"/>
        <n v="1.49"/>
        <n v="4.0199999999999996"/>
        <n v="1.08"/>
        <n v="4.5599999999999996"/>
        <n v="1.4"/>
        <n v="1.1299999999999999"/>
        <n v="4.24"/>
        <n v="1.03"/>
        <n v="4.3499999999999996"/>
        <n v="0.59"/>
        <n v="4.62"/>
        <n v="1.32"/>
        <n v="1.22"/>
        <n v="4.83"/>
        <n v="4.67"/>
        <n v="4.97"/>
        <n v="0.54"/>
        <n v="1.1599999999999999"/>
        <n v="0.78"/>
        <n v="4.75"/>
        <n v="0.7"/>
        <n v="0.92"/>
        <n v="0.3"/>
        <n v="0.89"/>
        <n v="4.59"/>
        <n v="4.9400000000000004"/>
        <n v="4.4800000000000004"/>
        <n v="0.56999999999999995"/>
        <n v="0.65"/>
        <n v="0.68"/>
        <n v="1.05"/>
        <n v="4.8099999999999996"/>
        <n v="4.54"/>
        <n v="0.11"/>
        <n v="5.21"/>
        <n v="5.18"/>
        <n v="5.32"/>
        <n v="5"/>
        <n v="4.78"/>
      </sharedItems>
      <fieldGroup base="17">
        <rangePr autoEnd="0" startNum="0" endNum="6"/>
        <groupItems count="8">
          <s v="&lt;0"/>
          <s v="0-1"/>
          <s v="1-2"/>
          <s v="2-3"/>
          <s v="3-4"/>
          <s v="4-5"/>
          <s v="5-6"/>
          <s v="&gt;6"/>
        </groupItems>
      </fieldGroup>
    </cacheField>
    <cacheField name="number_customer_service_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  <fieldGroup base="18">
        <rangePr autoEnd="0" startNum="0" endNum="10" groupInterval="2"/>
        <groupItems count="7">
          <s v="&lt;0"/>
          <s v="0-1"/>
          <s v="2-3"/>
          <s v="4-5"/>
          <s v="6-7"/>
          <s v="8-10"/>
          <s v="&gt;10"/>
        </groupItems>
      </fieldGroup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s v="OH"/>
    <x v="0"/>
    <s v="area_code_415"/>
    <x v="0"/>
    <x v="0"/>
    <n v="26"/>
    <n v="161.6"/>
    <n v="123"/>
    <n v="27.47"/>
    <n v="195.5"/>
    <n v="103"/>
    <n v="16.62"/>
    <n v="254.4"/>
    <n v="103"/>
    <n v="11.45"/>
    <x v="0"/>
    <x v="0"/>
    <x v="0"/>
    <x v="0"/>
    <x v="0"/>
  </r>
  <r>
    <s v="NJ"/>
    <x v="1"/>
    <s v="area_code_415"/>
    <x v="0"/>
    <x v="1"/>
    <n v="0"/>
    <n v="243.4"/>
    <n v="114"/>
    <n v="41.38"/>
    <n v="121.2"/>
    <n v="110"/>
    <n v="10.3"/>
    <n v="162.6"/>
    <n v="104"/>
    <n v="7.32"/>
    <x v="1"/>
    <x v="1"/>
    <x v="1"/>
    <x v="1"/>
    <x v="0"/>
  </r>
  <r>
    <s v="OH"/>
    <x v="2"/>
    <s v="area_code_408"/>
    <x v="1"/>
    <x v="1"/>
    <n v="0"/>
    <n v="299.39999999999998"/>
    <n v="71"/>
    <n v="50.9"/>
    <n v="61.9"/>
    <n v="88"/>
    <n v="5.26"/>
    <n v="196.9"/>
    <n v="89"/>
    <n v="8.86"/>
    <x v="2"/>
    <x v="2"/>
    <x v="2"/>
    <x v="2"/>
    <x v="0"/>
  </r>
  <r>
    <s v="OK"/>
    <x v="3"/>
    <s v="area_code_415"/>
    <x v="1"/>
    <x v="1"/>
    <n v="0"/>
    <n v="166.7"/>
    <n v="113"/>
    <n v="28.34"/>
    <n v="148.30000000000001"/>
    <n v="122"/>
    <n v="12.61"/>
    <n v="186.9"/>
    <n v="121"/>
    <n v="8.41"/>
    <x v="3"/>
    <x v="0"/>
    <x v="3"/>
    <x v="3"/>
    <x v="0"/>
  </r>
  <r>
    <s v="MA"/>
    <x v="4"/>
    <s v="area_code_510"/>
    <x v="0"/>
    <x v="0"/>
    <n v="24"/>
    <n v="218.2"/>
    <n v="88"/>
    <n v="37.090000000000003"/>
    <n v="348.5"/>
    <n v="108"/>
    <n v="29.62"/>
    <n v="212.6"/>
    <n v="118"/>
    <n v="9.57"/>
    <x v="4"/>
    <x v="2"/>
    <x v="4"/>
    <x v="3"/>
    <x v="0"/>
  </r>
  <r>
    <s v="MO"/>
    <x v="5"/>
    <s v="area_code_415"/>
    <x v="1"/>
    <x v="1"/>
    <n v="0"/>
    <n v="157"/>
    <n v="79"/>
    <n v="26.69"/>
    <n v="103.1"/>
    <n v="94"/>
    <n v="8.76"/>
    <n v="211.8"/>
    <n v="96"/>
    <n v="9.5299999999999994"/>
    <x v="5"/>
    <x v="3"/>
    <x v="5"/>
    <x v="1"/>
    <x v="0"/>
  </r>
  <r>
    <s v="LA"/>
    <x v="6"/>
    <s v="area_code_408"/>
    <x v="0"/>
    <x v="1"/>
    <n v="0"/>
    <n v="184.5"/>
    <n v="97"/>
    <n v="31.37"/>
    <n v="351.6"/>
    <n v="80"/>
    <n v="29.89"/>
    <n v="215.8"/>
    <n v="90"/>
    <n v="9.7100000000000009"/>
    <x v="6"/>
    <x v="4"/>
    <x v="6"/>
    <x v="0"/>
    <x v="0"/>
  </r>
  <r>
    <s v="WV"/>
    <x v="7"/>
    <s v="area_code_415"/>
    <x v="1"/>
    <x v="0"/>
    <n v="37"/>
    <n v="258.60000000000002"/>
    <n v="84"/>
    <n v="43.96"/>
    <n v="222"/>
    <n v="111"/>
    <n v="18.87"/>
    <n v="326.39999999999998"/>
    <n v="97"/>
    <n v="14.69"/>
    <x v="7"/>
    <x v="1"/>
    <x v="7"/>
    <x v="1"/>
    <x v="0"/>
  </r>
  <r>
    <s v="IN"/>
    <x v="8"/>
    <s v="area_code_415"/>
    <x v="0"/>
    <x v="1"/>
    <n v="0"/>
    <n v="129.1"/>
    <n v="137"/>
    <n v="21.95"/>
    <n v="228.5"/>
    <n v="83"/>
    <n v="19.420000000000002"/>
    <n v="208.8"/>
    <n v="111"/>
    <n v="9.4"/>
    <x v="8"/>
    <x v="3"/>
    <x v="8"/>
    <x v="4"/>
    <x v="1"/>
  </r>
  <r>
    <s v="RI"/>
    <x v="9"/>
    <s v="area_code_415"/>
    <x v="0"/>
    <x v="1"/>
    <n v="0"/>
    <n v="187.7"/>
    <n v="127"/>
    <n v="31.91"/>
    <n v="163.4"/>
    <n v="148"/>
    <n v="13.89"/>
    <n v="196"/>
    <n v="94"/>
    <n v="8.82"/>
    <x v="9"/>
    <x v="1"/>
    <x v="9"/>
    <x v="1"/>
    <x v="0"/>
  </r>
  <r>
    <s v="IA"/>
    <x v="10"/>
    <s v="area_code_408"/>
    <x v="0"/>
    <x v="1"/>
    <n v="0"/>
    <n v="128.80000000000001"/>
    <n v="96"/>
    <n v="21.9"/>
    <n v="104.9"/>
    <n v="71"/>
    <n v="8.92"/>
    <n v="141.1"/>
    <n v="128"/>
    <n v="6.35"/>
    <x v="7"/>
    <x v="5"/>
    <x v="7"/>
    <x v="0"/>
    <x v="0"/>
  </r>
  <r>
    <s v="MT"/>
    <x v="11"/>
    <s v="area_code_510"/>
    <x v="0"/>
    <x v="1"/>
    <n v="0"/>
    <n v="156.6"/>
    <n v="88"/>
    <n v="26.62"/>
    <n v="247.6"/>
    <n v="75"/>
    <n v="21.05"/>
    <n v="192.3"/>
    <n v="115"/>
    <n v="8.65"/>
    <x v="10"/>
    <x v="1"/>
    <x v="10"/>
    <x v="3"/>
    <x v="0"/>
  </r>
  <r>
    <s v="NY"/>
    <x v="12"/>
    <s v="area_code_415"/>
    <x v="0"/>
    <x v="1"/>
    <n v="0"/>
    <n v="332.9"/>
    <n v="67"/>
    <n v="56.59"/>
    <n v="317.8"/>
    <n v="97"/>
    <n v="27.01"/>
    <n v="160.6"/>
    <n v="128"/>
    <n v="7.23"/>
    <x v="11"/>
    <x v="6"/>
    <x v="11"/>
    <x v="4"/>
    <x v="1"/>
  </r>
  <r>
    <s v="ID"/>
    <x v="13"/>
    <s v="area_code_408"/>
    <x v="0"/>
    <x v="0"/>
    <n v="27"/>
    <n v="196.4"/>
    <n v="139"/>
    <n v="33.39"/>
    <n v="280.89999999999998"/>
    <n v="90"/>
    <n v="23.88"/>
    <n v="89.3"/>
    <n v="75"/>
    <n v="4.0199999999999996"/>
    <x v="12"/>
    <x v="4"/>
    <x v="12"/>
    <x v="0"/>
    <x v="0"/>
  </r>
  <r>
    <s v="VA"/>
    <x v="14"/>
    <s v="area_code_510"/>
    <x v="0"/>
    <x v="0"/>
    <n v="33"/>
    <n v="189.7"/>
    <n v="66"/>
    <n v="32.25"/>
    <n v="212.8"/>
    <n v="65"/>
    <n v="18.09"/>
    <n v="165.7"/>
    <n v="108"/>
    <n v="7.46"/>
    <x v="13"/>
    <x v="1"/>
    <x v="13"/>
    <x v="0"/>
    <x v="0"/>
  </r>
  <r>
    <s v="TX"/>
    <x v="15"/>
    <s v="area_code_415"/>
    <x v="0"/>
    <x v="1"/>
    <n v="0"/>
    <n v="224.4"/>
    <n v="90"/>
    <n v="38.15"/>
    <n v="159.5"/>
    <n v="88"/>
    <n v="13.56"/>
    <n v="192.8"/>
    <n v="74"/>
    <n v="8.68"/>
    <x v="14"/>
    <x v="5"/>
    <x v="14"/>
    <x v="0"/>
    <x v="0"/>
  </r>
  <r>
    <s v="FL"/>
    <x v="5"/>
    <s v="area_code_415"/>
    <x v="0"/>
    <x v="1"/>
    <n v="0"/>
    <n v="155.1"/>
    <n v="117"/>
    <n v="26.37"/>
    <n v="239.7"/>
    <n v="93"/>
    <n v="20.37"/>
    <n v="208.8"/>
    <n v="133"/>
    <n v="9.4"/>
    <x v="15"/>
    <x v="4"/>
    <x v="15"/>
    <x v="1"/>
    <x v="0"/>
  </r>
  <r>
    <s v="CO"/>
    <x v="16"/>
    <s v="area_code_408"/>
    <x v="0"/>
    <x v="1"/>
    <n v="0"/>
    <n v="62.4"/>
    <n v="89"/>
    <n v="10.61"/>
    <n v="169.9"/>
    <n v="121"/>
    <n v="14.44"/>
    <n v="209.6"/>
    <n v="64"/>
    <n v="9.43"/>
    <x v="16"/>
    <x v="3"/>
    <x v="16"/>
    <x v="5"/>
    <x v="1"/>
  </r>
  <r>
    <s v="AZ"/>
    <x v="17"/>
    <s v="area_code_415"/>
    <x v="0"/>
    <x v="1"/>
    <n v="0"/>
    <n v="183"/>
    <n v="112"/>
    <n v="31.11"/>
    <n v="72.900000000000006"/>
    <n v="99"/>
    <n v="6.2"/>
    <n v="181.8"/>
    <n v="78"/>
    <n v="8.18"/>
    <x v="17"/>
    <x v="7"/>
    <x v="17"/>
    <x v="1"/>
    <x v="0"/>
  </r>
  <r>
    <s v="SC"/>
    <x v="18"/>
    <s v="area_code_415"/>
    <x v="0"/>
    <x v="1"/>
    <n v="0"/>
    <n v="110.4"/>
    <n v="103"/>
    <n v="18.77"/>
    <n v="137.30000000000001"/>
    <n v="102"/>
    <n v="11.67"/>
    <n v="189.6"/>
    <n v="105"/>
    <n v="8.5299999999999994"/>
    <x v="18"/>
    <x v="3"/>
    <x v="18"/>
    <x v="2"/>
    <x v="0"/>
  </r>
  <r>
    <s v="VA"/>
    <x v="19"/>
    <s v="area_code_510"/>
    <x v="0"/>
    <x v="1"/>
    <n v="0"/>
    <n v="81.099999999999994"/>
    <n v="86"/>
    <n v="13.79"/>
    <n v="245.2"/>
    <n v="72"/>
    <n v="20.84"/>
    <n v="237"/>
    <n v="115"/>
    <n v="10.67"/>
    <x v="19"/>
    <x v="5"/>
    <x v="19"/>
    <x v="1"/>
    <x v="0"/>
  </r>
  <r>
    <s v="WY"/>
    <x v="20"/>
    <s v="area_code_408"/>
    <x v="0"/>
    <x v="0"/>
    <n v="39"/>
    <n v="213"/>
    <n v="115"/>
    <n v="36.21"/>
    <n v="191.1"/>
    <n v="112"/>
    <n v="16.239999999999998"/>
    <n v="182.7"/>
    <n v="115"/>
    <n v="8.2200000000000006"/>
    <x v="17"/>
    <x v="0"/>
    <x v="17"/>
    <x v="1"/>
    <x v="0"/>
  </r>
  <r>
    <s v="MT"/>
    <x v="21"/>
    <s v="area_code_408"/>
    <x v="0"/>
    <x v="1"/>
    <n v="0"/>
    <n v="134.30000000000001"/>
    <n v="73"/>
    <n v="22.83"/>
    <n v="155.5"/>
    <n v="100"/>
    <n v="13.22"/>
    <n v="102.1"/>
    <n v="68"/>
    <n v="4.59"/>
    <x v="20"/>
    <x v="4"/>
    <x v="20"/>
    <x v="3"/>
    <x v="0"/>
  </r>
  <r>
    <s v="MO"/>
    <x v="22"/>
    <s v="area_code_415"/>
    <x v="0"/>
    <x v="1"/>
    <n v="0"/>
    <n v="190"/>
    <n v="109"/>
    <n v="32.299999999999997"/>
    <n v="258.2"/>
    <n v="84"/>
    <n v="21.95"/>
    <n v="181.5"/>
    <n v="102"/>
    <n v="8.17"/>
    <x v="21"/>
    <x v="3"/>
    <x v="21"/>
    <x v="1"/>
    <x v="0"/>
  </r>
  <r>
    <s v="HI"/>
    <x v="23"/>
    <s v="area_code_510"/>
    <x v="0"/>
    <x v="1"/>
    <n v="0"/>
    <n v="119.3"/>
    <n v="117"/>
    <n v="20.28"/>
    <n v="215.1"/>
    <n v="109"/>
    <n v="18.28"/>
    <n v="178.7"/>
    <n v="90"/>
    <n v="8.0399999999999991"/>
    <x v="22"/>
    <x v="8"/>
    <x v="22"/>
    <x v="0"/>
    <x v="0"/>
  </r>
  <r>
    <s v="NH"/>
    <x v="3"/>
    <s v="area_code_510"/>
    <x v="0"/>
    <x v="1"/>
    <n v="0"/>
    <n v="226.1"/>
    <n v="105"/>
    <n v="38.44"/>
    <n v="201.5"/>
    <n v="107"/>
    <n v="17.13"/>
    <n v="246.2"/>
    <n v="98"/>
    <n v="11.08"/>
    <x v="19"/>
    <x v="1"/>
    <x v="19"/>
    <x v="0"/>
    <x v="0"/>
  </r>
  <r>
    <s v="AZ"/>
    <x v="24"/>
    <s v="area_code_408"/>
    <x v="0"/>
    <x v="1"/>
    <n v="0"/>
    <n v="249.6"/>
    <n v="118"/>
    <n v="42.43"/>
    <n v="252.4"/>
    <n v="119"/>
    <n v="21.45"/>
    <n v="280.2"/>
    <n v="90"/>
    <n v="12.61"/>
    <x v="23"/>
    <x v="0"/>
    <x v="23"/>
    <x v="0"/>
    <x v="1"/>
  </r>
  <r>
    <s v="OK"/>
    <x v="20"/>
    <s v="area_code_408"/>
    <x v="0"/>
    <x v="0"/>
    <n v="25"/>
    <n v="176.8"/>
    <n v="94"/>
    <n v="30.06"/>
    <n v="195"/>
    <n v="75"/>
    <n v="16.579999999999998"/>
    <n v="213.5"/>
    <n v="116"/>
    <n v="9.61"/>
    <x v="24"/>
    <x v="4"/>
    <x v="24"/>
    <x v="1"/>
    <x v="0"/>
  </r>
  <r>
    <s v="AK"/>
    <x v="25"/>
    <s v="area_code_408"/>
    <x v="0"/>
    <x v="0"/>
    <n v="30"/>
    <n v="146.30000000000001"/>
    <n v="128"/>
    <n v="24.87"/>
    <n v="162.5"/>
    <n v="80"/>
    <n v="13.81"/>
    <n v="129.30000000000001"/>
    <n v="109"/>
    <n v="5.82"/>
    <x v="25"/>
    <x v="3"/>
    <x v="25"/>
    <x v="1"/>
    <x v="0"/>
  </r>
  <r>
    <s v="MA"/>
    <x v="26"/>
    <s v="area_code_415"/>
    <x v="0"/>
    <x v="1"/>
    <n v="0"/>
    <n v="130.80000000000001"/>
    <n v="64"/>
    <n v="22.24"/>
    <n v="223.7"/>
    <n v="116"/>
    <n v="19.010000000000002"/>
    <n v="227.8"/>
    <n v="108"/>
    <n v="10.25"/>
    <x v="13"/>
    <x v="1"/>
    <x v="13"/>
    <x v="0"/>
    <x v="0"/>
  </r>
  <r>
    <s v="AK"/>
    <x v="27"/>
    <s v="area_code_415"/>
    <x v="1"/>
    <x v="0"/>
    <n v="33"/>
    <n v="203.9"/>
    <n v="106"/>
    <n v="34.659999999999997"/>
    <n v="187.6"/>
    <n v="99"/>
    <n v="15.95"/>
    <n v="101.7"/>
    <n v="107"/>
    <n v="4.58"/>
    <x v="26"/>
    <x v="3"/>
    <x v="26"/>
    <x v="3"/>
    <x v="0"/>
  </r>
  <r>
    <s v="GA"/>
    <x v="28"/>
    <s v="area_code_408"/>
    <x v="0"/>
    <x v="1"/>
    <n v="0"/>
    <n v="126.3"/>
    <n v="102"/>
    <n v="21.47"/>
    <n v="166.8"/>
    <n v="85"/>
    <n v="14.18"/>
    <n v="187.8"/>
    <n v="135"/>
    <n v="8.4499999999999993"/>
    <x v="27"/>
    <x v="5"/>
    <x v="27"/>
    <x v="3"/>
    <x v="0"/>
  </r>
  <r>
    <s v="MD"/>
    <x v="29"/>
    <s v="area_code_408"/>
    <x v="1"/>
    <x v="0"/>
    <n v="41"/>
    <n v="173.1"/>
    <n v="85"/>
    <n v="29.43"/>
    <n v="203.9"/>
    <n v="107"/>
    <n v="17.329999999999998"/>
    <n v="122.2"/>
    <n v="78"/>
    <n v="5.5"/>
    <x v="28"/>
    <x v="9"/>
    <x v="28"/>
    <x v="1"/>
    <x v="1"/>
  </r>
  <r>
    <s v="AR"/>
    <x v="30"/>
    <s v="area_code_510"/>
    <x v="0"/>
    <x v="1"/>
    <n v="0"/>
    <n v="124.8"/>
    <n v="82"/>
    <n v="21.22"/>
    <n v="282.2"/>
    <n v="98"/>
    <n v="23.99"/>
    <n v="311.5"/>
    <n v="78"/>
    <n v="14.02"/>
    <x v="13"/>
    <x v="4"/>
    <x v="13"/>
    <x v="2"/>
    <x v="0"/>
  </r>
  <r>
    <s v="ID"/>
    <x v="31"/>
    <s v="area_code_415"/>
    <x v="0"/>
    <x v="1"/>
    <n v="0"/>
    <n v="85.8"/>
    <n v="77"/>
    <n v="14.59"/>
    <n v="165.3"/>
    <n v="110"/>
    <n v="14.05"/>
    <n v="178.5"/>
    <n v="92"/>
    <n v="8.0299999999999994"/>
    <x v="29"/>
    <x v="4"/>
    <x v="29"/>
    <x v="3"/>
    <x v="0"/>
  </r>
  <r>
    <s v="WI"/>
    <x v="32"/>
    <s v="area_code_510"/>
    <x v="0"/>
    <x v="1"/>
    <n v="0"/>
    <n v="154"/>
    <n v="67"/>
    <n v="26.18"/>
    <n v="225.8"/>
    <n v="118"/>
    <n v="19.190000000000001"/>
    <n v="265.3"/>
    <n v="86"/>
    <n v="11.94"/>
    <x v="30"/>
    <x v="0"/>
    <x v="30"/>
    <x v="0"/>
    <x v="0"/>
  </r>
  <r>
    <s v="OR"/>
    <x v="33"/>
    <s v="area_code_408"/>
    <x v="0"/>
    <x v="0"/>
    <n v="28"/>
    <n v="120.9"/>
    <n v="97"/>
    <n v="20.55"/>
    <n v="213"/>
    <n v="92"/>
    <n v="18.11"/>
    <n v="163.1"/>
    <n v="116"/>
    <n v="7.34"/>
    <x v="31"/>
    <x v="1"/>
    <x v="31"/>
    <x v="2"/>
    <x v="0"/>
  </r>
  <r>
    <s v="MI"/>
    <x v="8"/>
    <s v="area_code_415"/>
    <x v="0"/>
    <x v="1"/>
    <n v="0"/>
    <n v="211.3"/>
    <n v="120"/>
    <n v="35.92"/>
    <n v="162.6"/>
    <n v="122"/>
    <n v="13.82"/>
    <n v="134.69999999999999"/>
    <n v="118"/>
    <n v="6.06"/>
    <x v="32"/>
    <x v="1"/>
    <x v="32"/>
    <x v="3"/>
    <x v="0"/>
  </r>
  <r>
    <s v="DE"/>
    <x v="34"/>
    <s v="area_code_408"/>
    <x v="0"/>
    <x v="1"/>
    <n v="0"/>
    <n v="187"/>
    <n v="133"/>
    <n v="31.79"/>
    <n v="134.6"/>
    <n v="74"/>
    <n v="11.44"/>
    <n v="242.2"/>
    <n v="127"/>
    <n v="10.9"/>
    <x v="33"/>
    <x v="1"/>
    <x v="33"/>
    <x v="2"/>
    <x v="0"/>
  </r>
  <r>
    <s v="WY"/>
    <x v="35"/>
    <s v="area_code_415"/>
    <x v="0"/>
    <x v="0"/>
    <n v="24"/>
    <n v="133.19999999999999"/>
    <n v="135"/>
    <n v="22.64"/>
    <n v="217.2"/>
    <n v="58"/>
    <n v="18.46"/>
    <n v="70.599999999999994"/>
    <n v="79"/>
    <n v="3.18"/>
    <x v="34"/>
    <x v="0"/>
    <x v="34"/>
    <x v="0"/>
    <x v="0"/>
  </r>
  <r>
    <s v="IA"/>
    <x v="36"/>
    <s v="area_code_408"/>
    <x v="0"/>
    <x v="1"/>
    <n v="0"/>
    <n v="191.9"/>
    <n v="108"/>
    <n v="32.619999999999997"/>
    <n v="269.8"/>
    <n v="96"/>
    <n v="22.93"/>
    <n v="236.8"/>
    <n v="87"/>
    <n v="10.66"/>
    <x v="35"/>
    <x v="1"/>
    <x v="35"/>
    <x v="3"/>
    <x v="0"/>
  </r>
  <r>
    <s v="IN"/>
    <x v="37"/>
    <s v="area_code_408"/>
    <x v="0"/>
    <x v="1"/>
    <n v="0"/>
    <n v="220.6"/>
    <n v="57"/>
    <n v="37.5"/>
    <n v="211.1"/>
    <n v="115"/>
    <n v="17.940000000000001"/>
    <n v="249"/>
    <n v="129"/>
    <n v="11.21"/>
    <x v="36"/>
    <x v="0"/>
    <x v="36"/>
    <x v="0"/>
    <x v="0"/>
  </r>
  <r>
    <s v="VA"/>
    <x v="38"/>
    <s v="area_code_408"/>
    <x v="0"/>
    <x v="1"/>
    <n v="0"/>
    <n v="186.1"/>
    <n v="112"/>
    <n v="31.64"/>
    <n v="190.2"/>
    <n v="66"/>
    <n v="16.170000000000002"/>
    <n v="282.8"/>
    <n v="57"/>
    <n v="12.73"/>
    <x v="37"/>
    <x v="3"/>
    <x v="37"/>
    <x v="2"/>
    <x v="0"/>
  </r>
  <r>
    <s v="UT"/>
    <x v="39"/>
    <s v="area_code_415"/>
    <x v="0"/>
    <x v="1"/>
    <n v="0"/>
    <n v="160.19999999999999"/>
    <n v="117"/>
    <n v="27.23"/>
    <n v="267.5"/>
    <n v="67"/>
    <n v="22.74"/>
    <n v="228.5"/>
    <n v="68"/>
    <n v="10.28"/>
    <x v="38"/>
    <x v="1"/>
    <x v="38"/>
    <x v="2"/>
    <x v="0"/>
  </r>
  <r>
    <s v="IN"/>
    <x v="40"/>
    <s v="area_code_408"/>
    <x v="0"/>
    <x v="1"/>
    <n v="0"/>
    <n v="175.5"/>
    <n v="67"/>
    <n v="29.84"/>
    <n v="249.3"/>
    <n v="85"/>
    <n v="21.19"/>
    <n v="270.2"/>
    <n v="98"/>
    <n v="12.16"/>
    <x v="39"/>
    <x v="0"/>
    <x v="39"/>
    <x v="0"/>
    <x v="0"/>
  </r>
  <r>
    <s v="CO"/>
    <x v="7"/>
    <s v="area_code_415"/>
    <x v="0"/>
    <x v="1"/>
    <n v="0"/>
    <n v="126.9"/>
    <n v="98"/>
    <n v="21.57"/>
    <n v="180"/>
    <n v="62"/>
    <n v="15.3"/>
    <n v="140.80000000000001"/>
    <n v="128"/>
    <n v="6.34"/>
    <x v="40"/>
    <x v="5"/>
    <x v="40"/>
    <x v="0"/>
    <x v="0"/>
  </r>
  <r>
    <s v="CO"/>
    <x v="4"/>
    <s v="area_code_408"/>
    <x v="0"/>
    <x v="0"/>
    <n v="30"/>
    <n v="198.4"/>
    <n v="129"/>
    <n v="33.729999999999997"/>
    <n v="75.3"/>
    <n v="77"/>
    <n v="6.4"/>
    <n v="181.2"/>
    <n v="77"/>
    <n v="8.15"/>
    <x v="41"/>
    <x v="0"/>
    <x v="41"/>
    <x v="3"/>
    <x v="1"/>
  </r>
  <r>
    <s v="OK"/>
    <x v="41"/>
    <s v="area_code_408"/>
    <x v="0"/>
    <x v="1"/>
    <n v="0"/>
    <n v="229.3"/>
    <n v="103"/>
    <n v="38.979999999999997"/>
    <n v="177.4"/>
    <n v="126"/>
    <n v="15.08"/>
    <n v="189.3"/>
    <n v="95"/>
    <n v="8.52"/>
    <x v="42"/>
    <x v="10"/>
    <x v="42"/>
    <x v="0"/>
    <x v="0"/>
  </r>
  <r>
    <s v="ID"/>
    <x v="42"/>
    <s v="area_code_408"/>
    <x v="0"/>
    <x v="1"/>
    <n v="0"/>
    <n v="192.1"/>
    <n v="97"/>
    <n v="32.659999999999997"/>
    <n v="169.9"/>
    <n v="94"/>
    <n v="14.44"/>
    <n v="166.6"/>
    <n v="54"/>
    <n v="7.5"/>
    <x v="37"/>
    <x v="4"/>
    <x v="37"/>
    <x v="0"/>
    <x v="0"/>
  </r>
  <r>
    <s v="CA"/>
    <x v="43"/>
    <s v="area_code_415"/>
    <x v="0"/>
    <x v="0"/>
    <n v="34"/>
    <n v="268.60000000000002"/>
    <n v="83"/>
    <n v="45.66"/>
    <n v="178.2"/>
    <n v="142"/>
    <n v="15.15"/>
    <n v="166.3"/>
    <n v="106"/>
    <n v="7.48"/>
    <x v="43"/>
    <x v="0"/>
    <x v="43"/>
    <x v="2"/>
    <x v="0"/>
  </r>
  <r>
    <s v="SD"/>
    <x v="44"/>
    <s v="area_code_408"/>
    <x v="0"/>
    <x v="0"/>
    <n v="28"/>
    <n v="180.7"/>
    <n v="92"/>
    <n v="30.72"/>
    <n v="187.8"/>
    <n v="64"/>
    <n v="15.96"/>
    <n v="265.5"/>
    <n v="53"/>
    <n v="11.95"/>
    <x v="44"/>
    <x v="0"/>
    <x v="44"/>
    <x v="3"/>
    <x v="0"/>
  </r>
  <r>
    <s v="NC"/>
    <x v="45"/>
    <s v="area_code_408"/>
    <x v="0"/>
    <x v="1"/>
    <n v="0"/>
    <n v="131.19999999999999"/>
    <n v="98"/>
    <n v="22.3"/>
    <n v="162.9"/>
    <n v="97"/>
    <n v="13.85"/>
    <n v="159"/>
    <n v="106"/>
    <n v="7.15"/>
    <x v="45"/>
    <x v="3"/>
    <x v="45"/>
    <x v="2"/>
    <x v="0"/>
  </r>
  <r>
    <s v="WA"/>
    <x v="46"/>
    <s v="area_code_415"/>
    <x v="0"/>
    <x v="0"/>
    <n v="41"/>
    <n v="148.1"/>
    <n v="74"/>
    <n v="25.18"/>
    <n v="169.5"/>
    <n v="88"/>
    <n v="14.41"/>
    <n v="214.1"/>
    <n v="102"/>
    <n v="9.6300000000000008"/>
    <x v="46"/>
    <x v="1"/>
    <x v="46"/>
    <x v="2"/>
    <x v="0"/>
  </r>
  <r>
    <s v="WY"/>
    <x v="47"/>
    <s v="area_code_415"/>
    <x v="1"/>
    <x v="1"/>
    <n v="0"/>
    <n v="251.5"/>
    <n v="105"/>
    <n v="42.76"/>
    <n v="212.8"/>
    <n v="104"/>
    <n v="18.09"/>
    <n v="157.80000000000001"/>
    <n v="67"/>
    <n v="7.1"/>
    <x v="38"/>
    <x v="4"/>
    <x v="38"/>
    <x v="1"/>
    <x v="0"/>
  </r>
  <r>
    <s v="MN"/>
    <x v="48"/>
    <s v="area_code_408"/>
    <x v="1"/>
    <x v="1"/>
    <n v="0"/>
    <n v="125.2"/>
    <n v="93"/>
    <n v="21.28"/>
    <n v="206.4"/>
    <n v="119"/>
    <n v="17.54"/>
    <n v="129.30000000000001"/>
    <n v="139"/>
    <n v="5.82"/>
    <x v="24"/>
    <x v="10"/>
    <x v="24"/>
    <x v="1"/>
    <x v="0"/>
  </r>
  <r>
    <s v="UT"/>
    <x v="49"/>
    <s v="area_code_408"/>
    <x v="0"/>
    <x v="1"/>
    <n v="0"/>
    <n v="211.6"/>
    <n v="70"/>
    <n v="35.97"/>
    <n v="216.9"/>
    <n v="80"/>
    <n v="18.440000000000001"/>
    <n v="153.5"/>
    <n v="60"/>
    <n v="6.91"/>
    <x v="35"/>
    <x v="8"/>
    <x v="35"/>
    <x v="0"/>
    <x v="0"/>
  </r>
  <r>
    <s v="TX"/>
    <x v="50"/>
    <s v="area_code_510"/>
    <x v="0"/>
    <x v="1"/>
    <n v="0"/>
    <n v="178.9"/>
    <n v="101"/>
    <n v="30.41"/>
    <n v="169.1"/>
    <n v="110"/>
    <n v="14.37"/>
    <n v="148.6"/>
    <n v="100"/>
    <n v="6.69"/>
    <x v="12"/>
    <x v="0"/>
    <x v="12"/>
    <x v="4"/>
    <x v="1"/>
  </r>
  <r>
    <s v="NJ"/>
    <x v="51"/>
    <s v="area_code_408"/>
    <x v="0"/>
    <x v="1"/>
    <n v="0"/>
    <n v="241.8"/>
    <n v="93"/>
    <n v="41.11"/>
    <n v="170.5"/>
    <n v="83"/>
    <n v="14.49"/>
    <n v="295.3"/>
    <n v="104"/>
    <n v="13.29"/>
    <x v="23"/>
    <x v="2"/>
    <x v="23"/>
    <x v="3"/>
    <x v="0"/>
  </r>
  <r>
    <s v="MN"/>
    <x v="52"/>
    <s v="area_code_510"/>
    <x v="0"/>
    <x v="0"/>
    <n v="46"/>
    <n v="224.9"/>
    <n v="97"/>
    <n v="38.229999999999997"/>
    <n v="188.2"/>
    <n v="84"/>
    <n v="16"/>
    <n v="254.6"/>
    <n v="61"/>
    <n v="11.46"/>
    <x v="47"/>
    <x v="5"/>
    <x v="47"/>
    <x v="1"/>
    <x v="0"/>
  </r>
  <r>
    <s v="NM"/>
    <x v="5"/>
    <s v="area_code_510"/>
    <x v="0"/>
    <x v="1"/>
    <n v="0"/>
    <n v="248.6"/>
    <n v="83"/>
    <n v="42.26"/>
    <n v="148.9"/>
    <n v="85"/>
    <n v="12.66"/>
    <n v="172.5"/>
    <n v="109"/>
    <n v="7.76"/>
    <x v="40"/>
    <x v="4"/>
    <x v="40"/>
    <x v="3"/>
    <x v="0"/>
  </r>
  <r>
    <s v="NV"/>
    <x v="53"/>
    <s v="area_code_415"/>
    <x v="0"/>
    <x v="1"/>
    <n v="0"/>
    <n v="203.4"/>
    <n v="146"/>
    <n v="34.58"/>
    <n v="226.7"/>
    <n v="117"/>
    <n v="19.27"/>
    <n v="152.4"/>
    <n v="105"/>
    <n v="6.86"/>
    <x v="48"/>
    <x v="4"/>
    <x v="48"/>
    <x v="0"/>
    <x v="0"/>
  </r>
  <r>
    <s v="HI"/>
    <x v="13"/>
    <s v="area_code_415"/>
    <x v="0"/>
    <x v="1"/>
    <n v="0"/>
    <n v="235.8"/>
    <n v="109"/>
    <n v="40.090000000000003"/>
    <n v="157.19999999999999"/>
    <n v="94"/>
    <n v="13.36"/>
    <n v="188.2"/>
    <n v="99"/>
    <n v="8.4700000000000006"/>
    <x v="42"/>
    <x v="0"/>
    <x v="42"/>
    <x v="1"/>
    <x v="0"/>
  </r>
  <r>
    <s v="MN"/>
    <x v="54"/>
    <s v="area_code_415"/>
    <x v="0"/>
    <x v="1"/>
    <n v="0"/>
    <n v="157.1"/>
    <n v="90"/>
    <n v="26.71"/>
    <n v="223.3"/>
    <n v="72"/>
    <n v="18.98"/>
    <n v="181.4"/>
    <n v="111"/>
    <n v="8.16"/>
    <x v="49"/>
    <x v="5"/>
    <x v="49"/>
    <x v="0"/>
    <x v="0"/>
  </r>
  <r>
    <s v="DC"/>
    <x v="55"/>
    <s v="area_code_415"/>
    <x v="0"/>
    <x v="1"/>
    <n v="0"/>
    <n v="300.3"/>
    <n v="109"/>
    <n v="51.05"/>
    <n v="181"/>
    <n v="100"/>
    <n v="15.39"/>
    <n v="270.10000000000002"/>
    <n v="73"/>
    <n v="12.15"/>
    <x v="50"/>
    <x v="4"/>
    <x v="50"/>
    <x v="1"/>
    <x v="1"/>
  </r>
  <r>
    <s v="NY"/>
    <x v="56"/>
    <s v="area_code_408"/>
    <x v="0"/>
    <x v="1"/>
    <n v="0"/>
    <n v="61.6"/>
    <n v="117"/>
    <n v="10.47"/>
    <n v="77.099999999999994"/>
    <n v="85"/>
    <n v="6.55"/>
    <n v="173"/>
    <n v="99"/>
    <n v="7.79"/>
    <x v="45"/>
    <x v="2"/>
    <x v="45"/>
    <x v="4"/>
    <x v="1"/>
  </r>
  <r>
    <s v="MN"/>
    <x v="57"/>
    <s v="area_code_415"/>
    <x v="0"/>
    <x v="1"/>
    <n v="0"/>
    <n v="214.1"/>
    <n v="72"/>
    <n v="36.4"/>
    <n v="164.4"/>
    <n v="104"/>
    <n v="13.97"/>
    <n v="177.5"/>
    <n v="113"/>
    <n v="7.99"/>
    <x v="45"/>
    <x v="0"/>
    <x v="45"/>
    <x v="2"/>
    <x v="0"/>
  </r>
  <r>
    <s v="MD"/>
    <x v="58"/>
    <s v="area_code_408"/>
    <x v="0"/>
    <x v="1"/>
    <n v="0"/>
    <n v="170.2"/>
    <n v="98"/>
    <n v="28.93"/>
    <n v="155.19999999999999"/>
    <n v="102"/>
    <n v="13.19"/>
    <n v="228.6"/>
    <n v="76"/>
    <n v="10.29"/>
    <x v="51"/>
    <x v="5"/>
    <x v="51"/>
    <x v="0"/>
    <x v="0"/>
  </r>
  <r>
    <s v="WV"/>
    <x v="56"/>
    <s v="area_code_415"/>
    <x v="0"/>
    <x v="1"/>
    <n v="0"/>
    <n v="201.1"/>
    <n v="99"/>
    <n v="34.19"/>
    <n v="303.5"/>
    <n v="74"/>
    <n v="25.8"/>
    <n v="224"/>
    <n v="119"/>
    <n v="10.08"/>
    <x v="32"/>
    <x v="5"/>
    <x v="32"/>
    <x v="0"/>
    <x v="0"/>
  </r>
  <r>
    <s v="OR"/>
    <x v="43"/>
    <s v="area_code_415"/>
    <x v="1"/>
    <x v="1"/>
    <n v="0"/>
    <n v="215.4"/>
    <n v="104"/>
    <n v="36.619999999999997"/>
    <n v="204.8"/>
    <n v="79"/>
    <n v="17.41"/>
    <n v="278.5"/>
    <n v="109"/>
    <n v="12.53"/>
    <x v="44"/>
    <x v="1"/>
    <x v="44"/>
    <x v="3"/>
    <x v="0"/>
  </r>
  <r>
    <s v="GA"/>
    <x v="58"/>
    <s v="area_code_415"/>
    <x v="0"/>
    <x v="0"/>
    <n v="24"/>
    <n v="249.5"/>
    <n v="101"/>
    <n v="42.42"/>
    <n v="259.7"/>
    <n v="98"/>
    <n v="22.07"/>
    <n v="222.7"/>
    <n v="68"/>
    <n v="10.02"/>
    <x v="52"/>
    <x v="4"/>
    <x v="52"/>
    <x v="0"/>
    <x v="0"/>
  </r>
  <r>
    <s v="VT"/>
    <x v="59"/>
    <s v="area_code_510"/>
    <x v="0"/>
    <x v="0"/>
    <n v="29"/>
    <n v="179.3"/>
    <n v="104"/>
    <n v="30.48"/>
    <n v="225.9"/>
    <n v="86"/>
    <n v="19.2"/>
    <n v="323"/>
    <n v="78"/>
    <n v="14.54"/>
    <x v="53"/>
    <x v="2"/>
    <x v="53"/>
    <x v="1"/>
    <x v="0"/>
  </r>
  <r>
    <s v="IN"/>
    <x v="60"/>
    <s v="area_code_408"/>
    <x v="0"/>
    <x v="1"/>
    <n v="0"/>
    <n v="157.9"/>
    <n v="105"/>
    <n v="26.84"/>
    <n v="155"/>
    <n v="101"/>
    <n v="13.18"/>
    <n v="189.6"/>
    <n v="84"/>
    <n v="8.5299999999999994"/>
    <x v="40"/>
    <x v="1"/>
    <x v="40"/>
    <x v="4"/>
    <x v="1"/>
  </r>
  <r>
    <s v="WV"/>
    <x v="18"/>
    <s v="area_code_510"/>
    <x v="0"/>
    <x v="1"/>
    <n v="0"/>
    <n v="214.3"/>
    <n v="118"/>
    <n v="36.43"/>
    <n v="208.5"/>
    <n v="76"/>
    <n v="17.72"/>
    <n v="182.4"/>
    <n v="98"/>
    <n v="8.2100000000000009"/>
    <x v="42"/>
    <x v="5"/>
    <x v="42"/>
    <x v="0"/>
    <x v="0"/>
  </r>
  <r>
    <s v="KY"/>
    <x v="9"/>
    <s v="area_code_415"/>
    <x v="0"/>
    <x v="0"/>
    <n v="35"/>
    <n v="154.1"/>
    <n v="104"/>
    <n v="26.2"/>
    <n v="123.4"/>
    <n v="84"/>
    <n v="10.49"/>
    <n v="202.1"/>
    <n v="57"/>
    <n v="9.09"/>
    <x v="54"/>
    <x v="6"/>
    <x v="54"/>
    <x v="2"/>
    <x v="0"/>
  </r>
  <r>
    <s v="NJ"/>
    <x v="59"/>
    <s v="area_code_415"/>
    <x v="0"/>
    <x v="1"/>
    <n v="0"/>
    <n v="237.9"/>
    <n v="125"/>
    <n v="40.44"/>
    <n v="247.6"/>
    <n v="93"/>
    <n v="21.05"/>
    <n v="208.9"/>
    <n v="68"/>
    <n v="9.4"/>
    <x v="55"/>
    <x v="4"/>
    <x v="55"/>
    <x v="0"/>
    <x v="1"/>
  </r>
  <r>
    <s v="DC"/>
    <x v="55"/>
    <s v="area_code_510"/>
    <x v="0"/>
    <x v="1"/>
    <n v="0"/>
    <n v="143.9"/>
    <n v="61"/>
    <n v="24.46"/>
    <n v="194.9"/>
    <n v="105"/>
    <n v="16.57"/>
    <n v="109.6"/>
    <n v="94"/>
    <n v="4.93"/>
    <x v="22"/>
    <x v="5"/>
    <x v="22"/>
    <x v="0"/>
    <x v="0"/>
  </r>
  <r>
    <s v="LA"/>
    <x v="61"/>
    <s v="area_code_415"/>
    <x v="0"/>
    <x v="1"/>
    <n v="0"/>
    <n v="203.4"/>
    <n v="100"/>
    <n v="34.58"/>
    <n v="190.9"/>
    <n v="104"/>
    <n v="16.23"/>
    <n v="196"/>
    <n v="119"/>
    <n v="8.82"/>
    <x v="56"/>
    <x v="4"/>
    <x v="56"/>
    <x v="1"/>
    <x v="1"/>
  </r>
  <r>
    <s v="AR"/>
    <x v="62"/>
    <s v="area_code_415"/>
    <x v="0"/>
    <x v="1"/>
    <n v="0"/>
    <n v="124.3"/>
    <n v="100"/>
    <n v="21.13"/>
    <n v="173"/>
    <n v="107"/>
    <n v="14.71"/>
    <n v="253.2"/>
    <n v="62"/>
    <n v="11.39"/>
    <x v="57"/>
    <x v="6"/>
    <x v="57"/>
    <x v="0"/>
    <x v="0"/>
  </r>
  <r>
    <s v="ME"/>
    <x v="26"/>
    <s v="area_code_415"/>
    <x v="0"/>
    <x v="1"/>
    <n v="0"/>
    <n v="252.9"/>
    <n v="93"/>
    <n v="42.99"/>
    <n v="178.4"/>
    <n v="112"/>
    <n v="15.16"/>
    <n v="263.89999999999998"/>
    <n v="105"/>
    <n v="11.88"/>
    <x v="17"/>
    <x v="2"/>
    <x v="17"/>
    <x v="3"/>
    <x v="0"/>
  </r>
  <r>
    <s v="AZ"/>
    <x v="53"/>
    <s v="area_code_415"/>
    <x v="0"/>
    <x v="1"/>
    <n v="0"/>
    <n v="179.1"/>
    <n v="71"/>
    <n v="30.45"/>
    <n v="190.6"/>
    <n v="81"/>
    <n v="16.2"/>
    <n v="127.7"/>
    <n v="91"/>
    <n v="5.75"/>
    <x v="15"/>
    <x v="2"/>
    <x v="15"/>
    <x v="3"/>
    <x v="0"/>
  </r>
  <r>
    <s v="MT"/>
    <x v="15"/>
    <s v="area_code_415"/>
    <x v="0"/>
    <x v="1"/>
    <n v="0"/>
    <n v="160.1"/>
    <n v="110"/>
    <n v="27.22"/>
    <n v="213.3"/>
    <n v="72"/>
    <n v="18.13"/>
    <n v="174.1"/>
    <n v="72"/>
    <n v="7.83"/>
    <x v="14"/>
    <x v="4"/>
    <x v="14"/>
    <x v="1"/>
    <x v="0"/>
  </r>
  <r>
    <s v="AZ"/>
    <x v="63"/>
    <s v="area_code_415"/>
    <x v="0"/>
    <x v="1"/>
    <n v="0"/>
    <n v="198.2"/>
    <n v="87"/>
    <n v="33.69"/>
    <n v="207.3"/>
    <n v="76"/>
    <n v="17.62"/>
    <n v="190.9"/>
    <n v="113"/>
    <n v="8.59"/>
    <x v="6"/>
    <x v="0"/>
    <x v="6"/>
    <x v="4"/>
    <x v="0"/>
  </r>
  <r>
    <s v="MS"/>
    <x v="64"/>
    <s v="area_code_408"/>
    <x v="0"/>
    <x v="1"/>
    <n v="0"/>
    <n v="212.1"/>
    <n v="131"/>
    <n v="36.06"/>
    <n v="209.4"/>
    <n v="104"/>
    <n v="17.8"/>
    <n v="167.2"/>
    <n v="96"/>
    <n v="7.52"/>
    <x v="58"/>
    <x v="1"/>
    <x v="58"/>
    <x v="0"/>
    <x v="1"/>
  </r>
  <r>
    <s v="ID"/>
    <x v="16"/>
    <s v="area_code_415"/>
    <x v="0"/>
    <x v="1"/>
    <n v="0"/>
    <n v="251.8"/>
    <n v="72"/>
    <n v="42.81"/>
    <n v="205.7"/>
    <n v="126"/>
    <n v="17.48"/>
    <n v="275.2"/>
    <n v="109"/>
    <n v="12.38"/>
    <x v="52"/>
    <x v="2"/>
    <x v="52"/>
    <x v="2"/>
    <x v="1"/>
  </r>
  <r>
    <s v="IA"/>
    <x v="28"/>
    <s v="area_code_510"/>
    <x v="0"/>
    <x v="0"/>
    <n v="21"/>
    <n v="161.19999999999999"/>
    <n v="114"/>
    <n v="27.4"/>
    <n v="252.2"/>
    <n v="83"/>
    <n v="21.44"/>
    <n v="160.19999999999999"/>
    <n v="92"/>
    <n v="7.21"/>
    <x v="59"/>
    <x v="10"/>
    <x v="59"/>
    <x v="4"/>
    <x v="0"/>
  </r>
  <r>
    <s v="MA"/>
    <x v="65"/>
    <s v="area_code_415"/>
    <x v="0"/>
    <x v="1"/>
    <n v="0"/>
    <n v="178.3"/>
    <n v="137"/>
    <n v="30.31"/>
    <n v="189"/>
    <n v="76"/>
    <n v="16.07"/>
    <n v="129.1"/>
    <n v="102"/>
    <n v="5.81"/>
    <x v="28"/>
    <x v="1"/>
    <x v="28"/>
    <x v="1"/>
    <x v="0"/>
  </r>
  <r>
    <s v="KY"/>
    <x v="11"/>
    <s v="area_code_408"/>
    <x v="0"/>
    <x v="1"/>
    <n v="0"/>
    <n v="135"/>
    <n v="99"/>
    <n v="22.95"/>
    <n v="183.6"/>
    <n v="106"/>
    <n v="15.61"/>
    <n v="245.3"/>
    <n v="102"/>
    <n v="11.04"/>
    <x v="60"/>
    <x v="6"/>
    <x v="60"/>
    <x v="0"/>
    <x v="0"/>
  </r>
  <r>
    <s v="IN"/>
    <x v="66"/>
    <s v="area_code_408"/>
    <x v="0"/>
    <x v="1"/>
    <n v="0"/>
    <n v="170.5"/>
    <n v="94"/>
    <n v="28.99"/>
    <n v="173.7"/>
    <n v="109"/>
    <n v="14.76"/>
    <n v="248.6"/>
    <n v="75"/>
    <n v="11.19"/>
    <x v="61"/>
    <x v="5"/>
    <x v="61"/>
    <x v="0"/>
    <x v="0"/>
  </r>
  <r>
    <s v="AZ"/>
    <x v="11"/>
    <s v="area_code_408"/>
    <x v="0"/>
    <x v="1"/>
    <n v="0"/>
    <n v="238.1"/>
    <n v="65"/>
    <n v="40.479999999999997"/>
    <n v="187.2"/>
    <n v="98"/>
    <n v="15.91"/>
    <n v="190"/>
    <n v="115"/>
    <n v="8.5500000000000007"/>
    <x v="23"/>
    <x v="4"/>
    <x v="23"/>
    <x v="4"/>
    <x v="0"/>
  </r>
  <r>
    <s v="MI"/>
    <x v="25"/>
    <s v="area_code_510"/>
    <x v="0"/>
    <x v="0"/>
    <n v="29"/>
    <n v="281.39999999999998"/>
    <n v="102"/>
    <n v="47.84"/>
    <n v="202.2"/>
    <n v="76"/>
    <n v="17.190000000000001"/>
    <n v="187.2"/>
    <n v="113"/>
    <n v="8.42"/>
    <x v="62"/>
    <x v="3"/>
    <x v="62"/>
    <x v="2"/>
    <x v="0"/>
  </r>
  <r>
    <s v="NM"/>
    <x v="67"/>
    <s v="area_code_510"/>
    <x v="0"/>
    <x v="0"/>
    <n v="21"/>
    <n v="117.9"/>
    <n v="131"/>
    <n v="20.04"/>
    <n v="164.5"/>
    <n v="115"/>
    <n v="13.98"/>
    <n v="217"/>
    <n v="86"/>
    <n v="9.76"/>
    <x v="52"/>
    <x v="0"/>
    <x v="52"/>
    <x v="0"/>
    <x v="0"/>
  </r>
  <r>
    <s v="UT"/>
    <x v="68"/>
    <s v="area_code_408"/>
    <x v="0"/>
    <x v="1"/>
    <n v="0"/>
    <n v="229.8"/>
    <n v="90"/>
    <n v="39.07"/>
    <n v="147.9"/>
    <n v="121"/>
    <n v="12.57"/>
    <n v="241.4"/>
    <n v="108"/>
    <n v="10.86"/>
    <x v="63"/>
    <x v="2"/>
    <x v="63"/>
    <x v="3"/>
    <x v="0"/>
  </r>
  <r>
    <s v="MI"/>
    <x v="64"/>
    <s v="area_code_408"/>
    <x v="0"/>
    <x v="1"/>
    <n v="0"/>
    <n v="165"/>
    <n v="100"/>
    <n v="28.05"/>
    <n v="317.2"/>
    <n v="83"/>
    <n v="26.96"/>
    <n v="119.2"/>
    <n v="86"/>
    <n v="5.36"/>
    <x v="24"/>
    <x v="10"/>
    <x v="24"/>
    <x v="0"/>
    <x v="0"/>
  </r>
  <r>
    <s v="AL"/>
    <x v="28"/>
    <s v="area_code_408"/>
    <x v="0"/>
    <x v="1"/>
    <n v="0"/>
    <n v="161"/>
    <n v="117"/>
    <n v="27.37"/>
    <n v="190.9"/>
    <n v="113"/>
    <n v="16.23"/>
    <n v="227.7"/>
    <n v="113"/>
    <n v="10.25"/>
    <x v="47"/>
    <x v="4"/>
    <x v="47"/>
    <x v="4"/>
    <x v="0"/>
  </r>
  <r>
    <s v="DE"/>
    <x v="41"/>
    <s v="area_code_408"/>
    <x v="0"/>
    <x v="1"/>
    <n v="0"/>
    <n v="126.7"/>
    <n v="108"/>
    <n v="21.54"/>
    <n v="206"/>
    <n v="90"/>
    <n v="17.510000000000002"/>
    <n v="247.8"/>
    <n v="114"/>
    <n v="11.15"/>
    <x v="64"/>
    <x v="2"/>
    <x v="64"/>
    <x v="0"/>
    <x v="0"/>
  </r>
  <r>
    <s v="AZ"/>
    <x v="69"/>
    <s v="area_code_415"/>
    <x v="0"/>
    <x v="1"/>
    <n v="0"/>
    <n v="58.9"/>
    <n v="125"/>
    <n v="10.01"/>
    <n v="169.6"/>
    <n v="59"/>
    <n v="14.42"/>
    <n v="211.4"/>
    <n v="88"/>
    <n v="9.51"/>
    <x v="27"/>
    <x v="0"/>
    <x v="27"/>
    <x v="0"/>
    <x v="0"/>
  </r>
  <r>
    <s v="ME"/>
    <x v="25"/>
    <s v="area_code_510"/>
    <x v="1"/>
    <x v="0"/>
    <n v="42"/>
    <n v="196.8"/>
    <n v="89"/>
    <n v="33.46"/>
    <n v="254.9"/>
    <n v="122"/>
    <n v="21.67"/>
    <n v="138.30000000000001"/>
    <n v="126"/>
    <n v="6.22"/>
    <x v="65"/>
    <x v="3"/>
    <x v="65"/>
    <x v="1"/>
    <x v="1"/>
  </r>
  <r>
    <s v="NJ"/>
    <x v="32"/>
    <s v="area_code_510"/>
    <x v="0"/>
    <x v="1"/>
    <n v="0"/>
    <n v="162.6"/>
    <n v="83"/>
    <n v="27.64"/>
    <n v="152.30000000000001"/>
    <n v="109"/>
    <n v="12.95"/>
    <n v="57.5"/>
    <n v="122"/>
    <n v="2.59"/>
    <x v="66"/>
    <x v="0"/>
    <x v="66"/>
    <x v="0"/>
    <x v="0"/>
  </r>
  <r>
    <s v="NV"/>
    <x v="9"/>
    <s v="area_code_415"/>
    <x v="0"/>
    <x v="1"/>
    <n v="0"/>
    <n v="282.5"/>
    <n v="114"/>
    <n v="48.03"/>
    <n v="219.9"/>
    <n v="48"/>
    <n v="18.690000000000001"/>
    <n v="170"/>
    <n v="115"/>
    <n v="7.65"/>
    <x v="27"/>
    <x v="4"/>
    <x v="27"/>
    <x v="0"/>
    <x v="1"/>
  </r>
  <r>
    <s v="NE"/>
    <x v="57"/>
    <s v="area_code_408"/>
    <x v="0"/>
    <x v="1"/>
    <n v="0"/>
    <n v="210.2"/>
    <n v="92"/>
    <n v="35.729999999999997"/>
    <n v="227.3"/>
    <n v="77"/>
    <n v="19.32"/>
    <n v="200.1"/>
    <n v="116"/>
    <n v="9"/>
    <x v="67"/>
    <x v="2"/>
    <x v="67"/>
    <x v="0"/>
    <x v="0"/>
  </r>
  <r>
    <s v="TX"/>
    <x v="70"/>
    <s v="area_code_408"/>
    <x v="0"/>
    <x v="0"/>
    <n v="22"/>
    <n v="213.8"/>
    <n v="102"/>
    <n v="36.35"/>
    <n v="141.80000000000001"/>
    <n v="86"/>
    <n v="12.05"/>
    <n v="142.19999999999999"/>
    <n v="123"/>
    <n v="6.4"/>
    <x v="68"/>
    <x v="0"/>
    <x v="68"/>
    <x v="1"/>
    <x v="0"/>
  </r>
  <r>
    <s v="MD"/>
    <x v="4"/>
    <s v="area_code_510"/>
    <x v="0"/>
    <x v="1"/>
    <n v="0"/>
    <n v="190.7"/>
    <n v="103"/>
    <n v="32.42"/>
    <n v="183.5"/>
    <n v="117"/>
    <n v="15.6"/>
    <n v="220.8"/>
    <n v="103"/>
    <n v="9.94"/>
    <x v="52"/>
    <x v="4"/>
    <x v="52"/>
    <x v="3"/>
    <x v="0"/>
  </r>
  <r>
    <s v="MS"/>
    <x v="71"/>
    <s v="area_code_415"/>
    <x v="0"/>
    <x v="1"/>
    <n v="0"/>
    <n v="170.9"/>
    <n v="124"/>
    <n v="29.05"/>
    <n v="132.30000000000001"/>
    <n v="95"/>
    <n v="11.25"/>
    <n v="112.9"/>
    <n v="89"/>
    <n v="5.08"/>
    <x v="43"/>
    <x v="0"/>
    <x v="43"/>
    <x v="0"/>
    <x v="0"/>
  </r>
  <r>
    <s v="NV"/>
    <x v="17"/>
    <s v="area_code_510"/>
    <x v="0"/>
    <x v="1"/>
    <n v="0"/>
    <n v="154.19999999999999"/>
    <n v="119"/>
    <n v="26.21"/>
    <n v="110.2"/>
    <n v="98"/>
    <n v="9.3699999999999992"/>
    <n v="227.4"/>
    <n v="117"/>
    <n v="10.23"/>
    <x v="29"/>
    <x v="1"/>
    <x v="29"/>
    <x v="2"/>
    <x v="0"/>
  </r>
  <r>
    <s v="AZ"/>
    <x v="13"/>
    <s v="area_code_408"/>
    <x v="0"/>
    <x v="1"/>
    <n v="0"/>
    <n v="201.4"/>
    <n v="52"/>
    <n v="34.24"/>
    <n v="229.4"/>
    <n v="104"/>
    <n v="19.5"/>
    <n v="252.5"/>
    <n v="106"/>
    <n v="11.36"/>
    <x v="42"/>
    <x v="0"/>
    <x v="42"/>
    <x v="0"/>
    <x v="0"/>
  </r>
  <r>
    <s v="MS"/>
    <x v="52"/>
    <s v="area_code_415"/>
    <x v="0"/>
    <x v="1"/>
    <n v="0"/>
    <n v="70.7"/>
    <n v="108"/>
    <n v="12.02"/>
    <n v="157.5"/>
    <n v="87"/>
    <n v="13.39"/>
    <n v="154.80000000000001"/>
    <n v="82"/>
    <n v="6.97"/>
    <x v="9"/>
    <x v="0"/>
    <x v="9"/>
    <x v="4"/>
    <x v="1"/>
  </r>
  <r>
    <s v="MS"/>
    <x v="72"/>
    <s v="area_code_510"/>
    <x v="0"/>
    <x v="0"/>
    <n v="27"/>
    <n v="187.5"/>
    <n v="124"/>
    <n v="31.88"/>
    <n v="146.6"/>
    <n v="103"/>
    <n v="12.46"/>
    <n v="225.7"/>
    <n v="129"/>
    <n v="10.16"/>
    <x v="69"/>
    <x v="3"/>
    <x v="69"/>
    <x v="4"/>
    <x v="1"/>
  </r>
  <r>
    <s v="TX"/>
    <x v="73"/>
    <s v="area_code_408"/>
    <x v="0"/>
    <x v="1"/>
    <n v="0"/>
    <n v="91.7"/>
    <n v="90"/>
    <n v="15.59"/>
    <n v="193.7"/>
    <n v="123"/>
    <n v="16.46"/>
    <n v="175"/>
    <n v="86"/>
    <n v="7.88"/>
    <x v="29"/>
    <x v="4"/>
    <x v="29"/>
    <x v="2"/>
    <x v="0"/>
  </r>
  <r>
    <s v="NE"/>
    <x v="53"/>
    <s v="area_code_415"/>
    <x v="0"/>
    <x v="1"/>
    <n v="0"/>
    <n v="145.5"/>
    <n v="92"/>
    <n v="24.74"/>
    <n v="217.7"/>
    <n v="114"/>
    <n v="18.5"/>
    <n v="146.9"/>
    <n v="123"/>
    <n v="6.61"/>
    <x v="54"/>
    <x v="5"/>
    <x v="54"/>
    <x v="3"/>
    <x v="0"/>
  </r>
  <r>
    <s v="CA"/>
    <x v="3"/>
    <s v="area_code_408"/>
    <x v="0"/>
    <x v="1"/>
    <n v="0"/>
    <n v="166.3"/>
    <n v="125"/>
    <n v="28.27"/>
    <n v="158.19999999999999"/>
    <n v="86"/>
    <n v="13.45"/>
    <n v="256.7"/>
    <n v="80"/>
    <n v="11.55"/>
    <x v="49"/>
    <x v="1"/>
    <x v="49"/>
    <x v="0"/>
    <x v="0"/>
  </r>
  <r>
    <s v="NJ"/>
    <x v="26"/>
    <s v="area_code_415"/>
    <x v="0"/>
    <x v="1"/>
    <n v="0"/>
    <n v="231"/>
    <n v="115"/>
    <n v="39.270000000000003"/>
    <n v="230.4"/>
    <n v="140"/>
    <n v="19.579999999999998"/>
    <n v="261.39999999999998"/>
    <n v="120"/>
    <n v="11.76"/>
    <x v="17"/>
    <x v="0"/>
    <x v="17"/>
    <x v="0"/>
    <x v="0"/>
  </r>
  <r>
    <s v="TX"/>
    <x v="55"/>
    <s v="area_code_408"/>
    <x v="0"/>
    <x v="1"/>
    <n v="0"/>
    <n v="200.3"/>
    <n v="96"/>
    <n v="34.049999999999997"/>
    <n v="201.2"/>
    <n v="102"/>
    <n v="17.100000000000001"/>
    <n v="206.1"/>
    <n v="60"/>
    <n v="9.27"/>
    <x v="5"/>
    <x v="8"/>
    <x v="5"/>
    <x v="4"/>
    <x v="0"/>
  </r>
  <r>
    <s v="AR"/>
    <x v="74"/>
    <s v="area_code_408"/>
    <x v="0"/>
    <x v="1"/>
    <n v="0"/>
    <n v="197"/>
    <n v="109"/>
    <n v="33.49"/>
    <n v="202.6"/>
    <n v="128"/>
    <n v="17.22"/>
    <n v="206.4"/>
    <n v="80"/>
    <n v="9.2899999999999991"/>
    <x v="9"/>
    <x v="11"/>
    <x v="9"/>
    <x v="0"/>
    <x v="0"/>
  </r>
  <r>
    <s v="AL"/>
    <x v="75"/>
    <s v="area_code_510"/>
    <x v="1"/>
    <x v="1"/>
    <n v="0"/>
    <n v="129.9"/>
    <n v="112"/>
    <n v="22.08"/>
    <n v="173.3"/>
    <n v="83"/>
    <n v="14.73"/>
    <n v="247.2"/>
    <n v="130"/>
    <n v="11.12"/>
    <x v="7"/>
    <x v="0"/>
    <x v="7"/>
    <x v="3"/>
    <x v="0"/>
  </r>
  <r>
    <s v="AK"/>
    <x v="76"/>
    <s v="area_code_510"/>
    <x v="0"/>
    <x v="0"/>
    <n v="36"/>
    <n v="183.2"/>
    <n v="117"/>
    <n v="31.14"/>
    <n v="126.8"/>
    <n v="76"/>
    <n v="10.78"/>
    <n v="263.3"/>
    <n v="71"/>
    <n v="11.85"/>
    <x v="7"/>
    <x v="10"/>
    <x v="7"/>
    <x v="0"/>
    <x v="0"/>
  </r>
  <r>
    <s v="NV"/>
    <x v="48"/>
    <s v="area_code_415"/>
    <x v="0"/>
    <x v="0"/>
    <n v="23"/>
    <n v="205"/>
    <n v="101"/>
    <n v="34.85"/>
    <n v="152"/>
    <n v="60"/>
    <n v="12.92"/>
    <n v="158.6"/>
    <n v="59"/>
    <n v="7.14"/>
    <x v="39"/>
    <x v="1"/>
    <x v="39"/>
    <x v="2"/>
    <x v="0"/>
  </r>
  <r>
    <s v="DE"/>
    <x v="77"/>
    <s v="area_code_510"/>
    <x v="0"/>
    <x v="1"/>
    <n v="0"/>
    <n v="148.5"/>
    <n v="115"/>
    <n v="25.25"/>
    <n v="276.39999999999998"/>
    <n v="84"/>
    <n v="23.49"/>
    <n v="193.6"/>
    <n v="112"/>
    <n v="8.7100000000000009"/>
    <x v="70"/>
    <x v="0"/>
    <x v="70"/>
    <x v="0"/>
    <x v="0"/>
  </r>
  <r>
    <s v="MD"/>
    <x v="64"/>
    <s v="area_code_415"/>
    <x v="0"/>
    <x v="0"/>
    <n v="39"/>
    <n v="200.3"/>
    <n v="68"/>
    <n v="34.049999999999997"/>
    <n v="220.4"/>
    <n v="97"/>
    <n v="18.73"/>
    <n v="253.8"/>
    <n v="116"/>
    <n v="11.42"/>
    <x v="26"/>
    <x v="4"/>
    <x v="26"/>
    <x v="1"/>
    <x v="0"/>
  </r>
  <r>
    <s v="MI"/>
    <x v="68"/>
    <s v="area_code_415"/>
    <x v="0"/>
    <x v="0"/>
    <n v="28"/>
    <n v="192.6"/>
    <n v="107"/>
    <n v="32.74"/>
    <n v="195.5"/>
    <n v="74"/>
    <n v="16.62"/>
    <n v="109.7"/>
    <n v="139"/>
    <n v="4.9400000000000004"/>
    <x v="36"/>
    <x v="1"/>
    <x v="36"/>
    <x v="3"/>
    <x v="0"/>
  </r>
  <r>
    <s v="VT"/>
    <x v="78"/>
    <s v="area_code_510"/>
    <x v="0"/>
    <x v="1"/>
    <n v="0"/>
    <n v="246.5"/>
    <n v="47"/>
    <n v="41.91"/>
    <n v="195.5"/>
    <n v="84"/>
    <n v="16.62"/>
    <n v="200.5"/>
    <n v="96"/>
    <n v="9.02"/>
    <x v="50"/>
    <x v="4"/>
    <x v="50"/>
    <x v="0"/>
    <x v="0"/>
  </r>
  <r>
    <s v="VT"/>
    <x v="6"/>
    <s v="area_code_408"/>
    <x v="1"/>
    <x v="1"/>
    <n v="0"/>
    <n v="167.1"/>
    <n v="86"/>
    <n v="28.41"/>
    <n v="177.5"/>
    <n v="87"/>
    <n v="15.09"/>
    <n v="249.4"/>
    <n v="132"/>
    <n v="11.22"/>
    <x v="71"/>
    <x v="2"/>
    <x v="71"/>
    <x v="2"/>
    <x v="1"/>
  </r>
  <r>
    <s v="LA"/>
    <x v="4"/>
    <s v="area_code_408"/>
    <x v="0"/>
    <x v="1"/>
    <n v="0"/>
    <n v="181.5"/>
    <n v="121"/>
    <n v="30.86"/>
    <n v="218.4"/>
    <n v="98"/>
    <n v="18.559999999999999"/>
    <n v="161.6"/>
    <n v="103"/>
    <n v="7.27"/>
    <x v="31"/>
    <x v="1"/>
    <x v="31"/>
    <x v="0"/>
    <x v="0"/>
  </r>
  <r>
    <s v="RI"/>
    <x v="79"/>
    <s v="area_code_408"/>
    <x v="0"/>
    <x v="0"/>
    <n v="43"/>
    <n v="257.7"/>
    <n v="97"/>
    <n v="43.81"/>
    <n v="162.1"/>
    <n v="95"/>
    <n v="13.78"/>
    <n v="286.89999999999998"/>
    <n v="86"/>
    <n v="12.91"/>
    <x v="22"/>
    <x v="4"/>
    <x v="22"/>
    <x v="2"/>
    <x v="0"/>
  </r>
  <r>
    <s v="IA"/>
    <x v="48"/>
    <s v="area_code_408"/>
    <x v="0"/>
    <x v="1"/>
    <n v="0"/>
    <n v="193.8"/>
    <n v="99"/>
    <n v="32.950000000000003"/>
    <n v="221.4"/>
    <n v="125"/>
    <n v="18.82"/>
    <n v="172.3"/>
    <n v="67"/>
    <n v="7.75"/>
    <x v="15"/>
    <x v="3"/>
    <x v="15"/>
    <x v="0"/>
    <x v="0"/>
  </r>
  <r>
    <s v="NE"/>
    <x v="6"/>
    <s v="area_code_415"/>
    <x v="0"/>
    <x v="1"/>
    <n v="0"/>
    <n v="102.8"/>
    <n v="119"/>
    <n v="17.48"/>
    <n v="206.7"/>
    <n v="91"/>
    <n v="17.57"/>
    <n v="299"/>
    <n v="105"/>
    <n v="13.46"/>
    <x v="3"/>
    <x v="2"/>
    <x v="3"/>
    <x v="0"/>
    <x v="0"/>
  </r>
  <r>
    <s v="OH"/>
    <x v="8"/>
    <s v="area_code_408"/>
    <x v="0"/>
    <x v="1"/>
    <n v="0"/>
    <n v="187.9"/>
    <n v="116"/>
    <n v="31.94"/>
    <n v="157.6"/>
    <n v="117"/>
    <n v="13.4"/>
    <n v="227.3"/>
    <n v="86"/>
    <n v="10.23"/>
    <x v="4"/>
    <x v="3"/>
    <x v="4"/>
    <x v="0"/>
    <x v="0"/>
  </r>
  <r>
    <s v="RI"/>
    <x v="80"/>
    <s v="area_code_415"/>
    <x v="0"/>
    <x v="1"/>
    <n v="0"/>
    <n v="226"/>
    <n v="112"/>
    <n v="38.42"/>
    <n v="248.5"/>
    <n v="118"/>
    <n v="21.12"/>
    <n v="140.5"/>
    <n v="142"/>
    <n v="6.32"/>
    <x v="72"/>
    <x v="12"/>
    <x v="72"/>
    <x v="0"/>
    <x v="0"/>
  </r>
  <r>
    <s v="OK"/>
    <x v="39"/>
    <s v="area_code_415"/>
    <x v="0"/>
    <x v="1"/>
    <n v="0"/>
    <n v="260.39999999999998"/>
    <n v="115"/>
    <n v="44.27"/>
    <n v="146"/>
    <n v="46"/>
    <n v="12.41"/>
    <n v="269.5"/>
    <n v="87"/>
    <n v="12.13"/>
    <x v="73"/>
    <x v="4"/>
    <x v="73"/>
    <x v="5"/>
    <x v="0"/>
  </r>
  <r>
    <s v="LA"/>
    <x v="81"/>
    <s v="area_code_408"/>
    <x v="0"/>
    <x v="1"/>
    <n v="0"/>
    <n v="178.7"/>
    <n v="116"/>
    <n v="30.38"/>
    <n v="292.10000000000002"/>
    <n v="138"/>
    <n v="24.83"/>
    <n v="265.89999999999998"/>
    <n v="101"/>
    <n v="11.97"/>
    <x v="52"/>
    <x v="4"/>
    <x v="52"/>
    <x v="1"/>
    <x v="0"/>
  </r>
  <r>
    <s v="OH"/>
    <x v="82"/>
    <s v="area_code_415"/>
    <x v="0"/>
    <x v="1"/>
    <n v="0"/>
    <n v="337.4"/>
    <n v="120"/>
    <n v="57.36"/>
    <n v="227.4"/>
    <n v="116"/>
    <n v="19.329999999999998"/>
    <n v="153.9"/>
    <n v="114"/>
    <n v="6.93"/>
    <x v="74"/>
    <x v="2"/>
    <x v="74"/>
    <x v="1"/>
    <x v="1"/>
  </r>
  <r>
    <s v="VA"/>
    <x v="83"/>
    <s v="area_code_510"/>
    <x v="0"/>
    <x v="0"/>
    <n v="23"/>
    <n v="157.6"/>
    <n v="129"/>
    <n v="26.79"/>
    <n v="247"/>
    <n v="96"/>
    <n v="21"/>
    <n v="259.2"/>
    <n v="112"/>
    <n v="11.66"/>
    <x v="0"/>
    <x v="5"/>
    <x v="0"/>
    <x v="1"/>
    <x v="0"/>
  </r>
  <r>
    <s v="MO"/>
    <x v="84"/>
    <s v="area_code_510"/>
    <x v="0"/>
    <x v="1"/>
    <n v="0"/>
    <n v="183.6"/>
    <n v="117"/>
    <n v="31.21"/>
    <n v="256.7"/>
    <n v="72"/>
    <n v="21.82"/>
    <n v="178.6"/>
    <n v="79"/>
    <n v="8.0399999999999991"/>
    <x v="39"/>
    <x v="5"/>
    <x v="39"/>
    <x v="0"/>
    <x v="0"/>
  </r>
  <r>
    <s v="FL"/>
    <x v="85"/>
    <s v="area_code_510"/>
    <x v="0"/>
    <x v="0"/>
    <n v="24"/>
    <n v="142.1"/>
    <n v="124"/>
    <n v="24.16"/>
    <n v="183.4"/>
    <n v="129"/>
    <n v="15.59"/>
    <n v="164.8"/>
    <n v="114"/>
    <n v="7.42"/>
    <x v="63"/>
    <x v="4"/>
    <x v="63"/>
    <x v="0"/>
    <x v="0"/>
  </r>
  <r>
    <s v="VA"/>
    <x v="7"/>
    <s v="area_code_415"/>
    <x v="0"/>
    <x v="1"/>
    <n v="0"/>
    <n v="217.1"/>
    <n v="110"/>
    <n v="36.909999999999997"/>
    <n v="241.5"/>
    <n v="111"/>
    <n v="20.53"/>
    <n v="253.5"/>
    <n v="103"/>
    <n v="11.41"/>
    <x v="42"/>
    <x v="3"/>
    <x v="42"/>
    <x v="1"/>
    <x v="0"/>
  </r>
  <r>
    <s v="MI"/>
    <x v="86"/>
    <s v="area_code_415"/>
    <x v="0"/>
    <x v="1"/>
    <n v="0"/>
    <n v="98.9"/>
    <n v="103"/>
    <n v="16.809999999999999"/>
    <n v="135.4"/>
    <n v="122"/>
    <n v="11.51"/>
    <n v="236.6"/>
    <n v="82"/>
    <n v="10.65"/>
    <x v="1"/>
    <x v="8"/>
    <x v="1"/>
    <x v="0"/>
    <x v="0"/>
  </r>
  <r>
    <s v="GA"/>
    <x v="87"/>
    <s v="area_code_510"/>
    <x v="0"/>
    <x v="0"/>
    <n v="31"/>
    <n v="189.8"/>
    <n v="126"/>
    <n v="32.270000000000003"/>
    <n v="163.30000000000001"/>
    <n v="133"/>
    <n v="13.88"/>
    <n v="264.8"/>
    <n v="126"/>
    <n v="11.92"/>
    <x v="4"/>
    <x v="0"/>
    <x v="4"/>
    <x v="0"/>
    <x v="0"/>
  </r>
  <r>
    <s v="DC"/>
    <x v="88"/>
    <s v="area_code_415"/>
    <x v="0"/>
    <x v="1"/>
    <n v="0"/>
    <n v="202"/>
    <n v="102"/>
    <n v="34.340000000000003"/>
    <n v="243.2"/>
    <n v="128"/>
    <n v="20.67"/>
    <n v="261.3"/>
    <n v="90"/>
    <n v="11.76"/>
    <x v="54"/>
    <x v="0"/>
    <x v="54"/>
    <x v="0"/>
    <x v="0"/>
  </r>
  <r>
    <s v="AZ"/>
    <x v="60"/>
    <s v="area_code_408"/>
    <x v="0"/>
    <x v="0"/>
    <n v="38"/>
    <n v="170.1"/>
    <n v="124"/>
    <n v="28.92"/>
    <n v="193.3"/>
    <n v="116"/>
    <n v="16.43"/>
    <n v="105.9"/>
    <n v="73"/>
    <n v="4.7699999999999996"/>
    <x v="75"/>
    <x v="4"/>
    <x v="75"/>
    <x v="0"/>
    <x v="0"/>
  </r>
  <r>
    <s v="AL"/>
    <x v="89"/>
    <s v="area_code_510"/>
    <x v="0"/>
    <x v="1"/>
    <n v="0"/>
    <n v="230.9"/>
    <n v="87"/>
    <n v="39.25"/>
    <n v="187.4"/>
    <n v="90"/>
    <n v="15.93"/>
    <n v="154"/>
    <n v="53"/>
    <n v="6.93"/>
    <x v="21"/>
    <x v="5"/>
    <x v="21"/>
    <x v="1"/>
    <x v="0"/>
  </r>
  <r>
    <s v="CO"/>
    <x v="90"/>
    <s v="area_code_408"/>
    <x v="0"/>
    <x v="1"/>
    <n v="0"/>
    <n v="237.1"/>
    <n v="105"/>
    <n v="40.31"/>
    <n v="223.5"/>
    <n v="105"/>
    <n v="19"/>
    <n v="97.4"/>
    <n v="79"/>
    <n v="4.38"/>
    <x v="32"/>
    <x v="5"/>
    <x v="32"/>
    <x v="0"/>
    <x v="0"/>
  </r>
  <r>
    <s v="NM"/>
    <x v="91"/>
    <s v="area_code_415"/>
    <x v="0"/>
    <x v="1"/>
    <n v="0"/>
    <n v="119.3"/>
    <n v="87"/>
    <n v="20.28"/>
    <n v="211.5"/>
    <n v="101"/>
    <n v="17.98"/>
    <n v="268.89999999999998"/>
    <n v="86"/>
    <n v="12.1"/>
    <x v="26"/>
    <x v="4"/>
    <x v="26"/>
    <x v="3"/>
    <x v="0"/>
  </r>
  <r>
    <s v="OR"/>
    <x v="8"/>
    <s v="area_code_415"/>
    <x v="0"/>
    <x v="1"/>
    <n v="0"/>
    <n v="116.8"/>
    <n v="87"/>
    <n v="19.86"/>
    <n v="178.9"/>
    <n v="93"/>
    <n v="15.21"/>
    <n v="182.4"/>
    <n v="150"/>
    <n v="8.2100000000000009"/>
    <x v="71"/>
    <x v="5"/>
    <x v="71"/>
    <x v="0"/>
    <x v="0"/>
  </r>
  <r>
    <s v="LA"/>
    <x v="92"/>
    <s v="area_code_408"/>
    <x v="0"/>
    <x v="1"/>
    <n v="0"/>
    <n v="219.2"/>
    <n v="92"/>
    <n v="37.26"/>
    <n v="149.4"/>
    <n v="125"/>
    <n v="12.7"/>
    <n v="244.7"/>
    <n v="104"/>
    <n v="11.01"/>
    <x v="49"/>
    <x v="1"/>
    <x v="49"/>
    <x v="1"/>
    <x v="0"/>
  </r>
  <r>
    <s v="NE"/>
    <x v="60"/>
    <s v="area_code_415"/>
    <x v="0"/>
    <x v="1"/>
    <n v="0"/>
    <n v="252.6"/>
    <n v="104"/>
    <n v="42.94"/>
    <n v="169"/>
    <n v="125"/>
    <n v="14.37"/>
    <n v="170.9"/>
    <n v="106"/>
    <n v="7.69"/>
    <x v="22"/>
    <x v="2"/>
    <x v="22"/>
    <x v="2"/>
    <x v="0"/>
  </r>
  <r>
    <s v="MN"/>
    <x v="86"/>
    <s v="area_code_415"/>
    <x v="0"/>
    <x v="1"/>
    <n v="0"/>
    <n v="147.1"/>
    <n v="91"/>
    <n v="25.01"/>
    <n v="190.4"/>
    <n v="107"/>
    <n v="16.18"/>
    <n v="195.2"/>
    <n v="115"/>
    <n v="8.7799999999999994"/>
    <x v="1"/>
    <x v="0"/>
    <x v="1"/>
    <x v="1"/>
    <x v="0"/>
  </r>
  <r>
    <s v="AR"/>
    <x v="43"/>
    <s v="area_code_408"/>
    <x v="0"/>
    <x v="1"/>
    <n v="0"/>
    <n v="173.5"/>
    <n v="93"/>
    <n v="29.5"/>
    <n v="194.1"/>
    <n v="76"/>
    <n v="16.5"/>
    <n v="208"/>
    <n v="112"/>
    <n v="9.36"/>
    <x v="76"/>
    <x v="11"/>
    <x v="76"/>
    <x v="3"/>
    <x v="0"/>
  </r>
  <r>
    <s v="KS"/>
    <x v="58"/>
    <s v="area_code_408"/>
    <x v="0"/>
    <x v="1"/>
    <n v="0"/>
    <n v="232.1"/>
    <n v="122"/>
    <n v="39.46"/>
    <n v="292.3"/>
    <n v="112"/>
    <n v="24.85"/>
    <n v="201.2"/>
    <n v="112"/>
    <n v="9.0500000000000007"/>
    <x v="77"/>
    <x v="13"/>
    <x v="77"/>
    <x v="3"/>
    <x v="0"/>
  </r>
  <r>
    <s v="WV"/>
    <x v="60"/>
    <s v="area_code_510"/>
    <x v="1"/>
    <x v="0"/>
    <n v="23"/>
    <n v="197.1"/>
    <n v="125"/>
    <n v="33.51"/>
    <n v="214.5"/>
    <n v="136"/>
    <n v="18.23"/>
    <n v="282.2"/>
    <n v="103"/>
    <n v="12.7"/>
    <x v="17"/>
    <x v="1"/>
    <x v="17"/>
    <x v="4"/>
    <x v="0"/>
  </r>
  <r>
    <s v="AK"/>
    <x v="49"/>
    <s v="area_code_415"/>
    <x v="0"/>
    <x v="1"/>
    <n v="0"/>
    <n v="58.2"/>
    <n v="94"/>
    <n v="9.89"/>
    <n v="138.69999999999999"/>
    <n v="118"/>
    <n v="11.79"/>
    <n v="136.80000000000001"/>
    <n v="91"/>
    <n v="6.16"/>
    <x v="78"/>
    <x v="8"/>
    <x v="78"/>
    <x v="5"/>
    <x v="1"/>
  </r>
  <r>
    <s v="NY"/>
    <x v="93"/>
    <s v="area_code_408"/>
    <x v="0"/>
    <x v="0"/>
    <n v="36"/>
    <n v="115.6"/>
    <n v="111"/>
    <n v="19.649999999999999"/>
    <n v="237.7"/>
    <n v="94"/>
    <n v="20.2"/>
    <n v="169.9"/>
    <n v="103"/>
    <n v="7.65"/>
    <x v="79"/>
    <x v="14"/>
    <x v="79"/>
    <x v="2"/>
    <x v="0"/>
  </r>
  <r>
    <s v="NH"/>
    <x v="94"/>
    <s v="area_code_408"/>
    <x v="0"/>
    <x v="1"/>
    <n v="0"/>
    <n v="186.1"/>
    <n v="98"/>
    <n v="31.64"/>
    <n v="254.3"/>
    <n v="57"/>
    <n v="21.62"/>
    <n v="214"/>
    <n v="127"/>
    <n v="9.6300000000000008"/>
    <x v="28"/>
    <x v="2"/>
    <x v="28"/>
    <x v="2"/>
    <x v="0"/>
  </r>
  <r>
    <s v="VA"/>
    <x v="95"/>
    <s v="area_code_510"/>
    <x v="1"/>
    <x v="1"/>
    <n v="0"/>
    <n v="259.89999999999998"/>
    <n v="68"/>
    <n v="44.18"/>
    <n v="245"/>
    <n v="122"/>
    <n v="20.83"/>
    <n v="134.4"/>
    <n v="121"/>
    <n v="6.05"/>
    <x v="80"/>
    <x v="0"/>
    <x v="80"/>
    <x v="3"/>
    <x v="0"/>
  </r>
  <r>
    <s v="NM"/>
    <x v="15"/>
    <s v="area_code_415"/>
    <x v="0"/>
    <x v="1"/>
    <n v="0"/>
    <n v="214.3"/>
    <n v="145"/>
    <n v="36.43"/>
    <n v="268.5"/>
    <n v="135"/>
    <n v="22.82"/>
    <n v="241.2"/>
    <n v="92"/>
    <n v="10.85"/>
    <x v="81"/>
    <x v="15"/>
    <x v="81"/>
    <x v="0"/>
    <x v="0"/>
  </r>
  <r>
    <s v="NY"/>
    <x v="96"/>
    <s v="area_code_408"/>
    <x v="0"/>
    <x v="1"/>
    <n v="0"/>
    <n v="158.69999999999999"/>
    <n v="74"/>
    <n v="26.98"/>
    <n v="64.3"/>
    <n v="139"/>
    <n v="5.47"/>
    <n v="198.5"/>
    <n v="103"/>
    <n v="8.93"/>
    <x v="39"/>
    <x v="4"/>
    <x v="39"/>
    <x v="0"/>
    <x v="0"/>
  </r>
  <r>
    <s v="AZ"/>
    <x v="67"/>
    <s v="area_code_415"/>
    <x v="0"/>
    <x v="1"/>
    <n v="0"/>
    <n v="271.60000000000002"/>
    <n v="71"/>
    <n v="46.17"/>
    <n v="229.4"/>
    <n v="108"/>
    <n v="19.5"/>
    <n v="77.3"/>
    <n v="121"/>
    <n v="3.48"/>
    <x v="54"/>
    <x v="0"/>
    <x v="54"/>
    <x v="2"/>
    <x v="0"/>
  </r>
  <r>
    <s v="WA"/>
    <x v="97"/>
    <s v="area_code_408"/>
    <x v="0"/>
    <x v="1"/>
    <n v="0"/>
    <n v="232.4"/>
    <n v="109"/>
    <n v="39.51"/>
    <n v="187.4"/>
    <n v="95"/>
    <n v="15.93"/>
    <n v="231.2"/>
    <n v="107"/>
    <n v="10.4"/>
    <x v="9"/>
    <x v="0"/>
    <x v="9"/>
    <x v="0"/>
    <x v="0"/>
  </r>
  <r>
    <s v="TX"/>
    <x v="17"/>
    <s v="area_code_415"/>
    <x v="0"/>
    <x v="1"/>
    <n v="0"/>
    <n v="176.9"/>
    <n v="109"/>
    <n v="30.07"/>
    <n v="90.7"/>
    <n v="104"/>
    <n v="7.71"/>
    <n v="238"/>
    <n v="69"/>
    <n v="10.71"/>
    <x v="17"/>
    <x v="5"/>
    <x v="17"/>
    <x v="0"/>
    <x v="0"/>
  </r>
  <r>
    <s v="KY"/>
    <x v="62"/>
    <s v="area_code_408"/>
    <x v="0"/>
    <x v="1"/>
    <n v="0"/>
    <n v="209.9"/>
    <n v="74"/>
    <n v="35.68"/>
    <n v="195.1"/>
    <n v="77"/>
    <n v="16.579999999999998"/>
    <n v="208.2"/>
    <n v="119"/>
    <n v="9.3699999999999992"/>
    <x v="82"/>
    <x v="4"/>
    <x v="82"/>
    <x v="2"/>
    <x v="0"/>
  </r>
  <r>
    <s v="MT"/>
    <x v="60"/>
    <s v="area_code_415"/>
    <x v="0"/>
    <x v="1"/>
    <n v="0"/>
    <n v="137.5"/>
    <n v="118"/>
    <n v="23.38"/>
    <n v="203.2"/>
    <n v="88"/>
    <n v="17.27"/>
    <n v="150"/>
    <n v="131"/>
    <n v="6.75"/>
    <x v="83"/>
    <x v="5"/>
    <x v="83"/>
    <x v="1"/>
    <x v="0"/>
  </r>
  <r>
    <s v="OK"/>
    <x v="98"/>
    <s v="area_code_408"/>
    <x v="0"/>
    <x v="0"/>
    <n v="23"/>
    <n v="289.5"/>
    <n v="52"/>
    <n v="49.22"/>
    <n v="166.6"/>
    <n v="111"/>
    <n v="14.16"/>
    <n v="119.1"/>
    <n v="88"/>
    <n v="5.36"/>
    <x v="17"/>
    <x v="4"/>
    <x v="17"/>
    <x v="0"/>
    <x v="0"/>
  </r>
  <r>
    <s v="MD"/>
    <x v="6"/>
    <s v="area_code_415"/>
    <x v="0"/>
    <x v="0"/>
    <n v="23"/>
    <n v="198.1"/>
    <n v="86"/>
    <n v="33.68"/>
    <n v="177"/>
    <n v="86"/>
    <n v="15.05"/>
    <n v="180.5"/>
    <n v="92"/>
    <n v="8.1199999999999992"/>
    <x v="36"/>
    <x v="3"/>
    <x v="36"/>
    <x v="0"/>
    <x v="0"/>
  </r>
  <r>
    <s v="TN"/>
    <x v="26"/>
    <s v="area_code_415"/>
    <x v="0"/>
    <x v="1"/>
    <n v="0"/>
    <n v="149.69999999999999"/>
    <n v="119"/>
    <n v="25.45"/>
    <n v="182.2"/>
    <n v="115"/>
    <n v="15.49"/>
    <n v="261.5"/>
    <n v="126"/>
    <n v="11.77"/>
    <x v="84"/>
    <x v="10"/>
    <x v="84"/>
    <x v="1"/>
    <x v="0"/>
  </r>
  <r>
    <s v="TX"/>
    <x v="99"/>
    <s v="area_code_510"/>
    <x v="0"/>
    <x v="1"/>
    <n v="0"/>
    <n v="326.5"/>
    <n v="67"/>
    <n v="55.51"/>
    <n v="176.3"/>
    <n v="113"/>
    <n v="14.99"/>
    <n v="181.7"/>
    <n v="102"/>
    <n v="8.18"/>
    <x v="85"/>
    <x v="3"/>
    <x v="85"/>
    <x v="2"/>
    <x v="1"/>
  </r>
  <r>
    <s v="ME"/>
    <x v="100"/>
    <s v="area_code_510"/>
    <x v="1"/>
    <x v="0"/>
    <n v="26"/>
    <n v="292.89999999999998"/>
    <n v="101"/>
    <n v="49.79"/>
    <n v="199.7"/>
    <n v="97"/>
    <n v="16.97"/>
    <n v="255.3"/>
    <n v="127"/>
    <n v="11.49"/>
    <x v="12"/>
    <x v="2"/>
    <x v="12"/>
    <x v="4"/>
    <x v="1"/>
  </r>
  <r>
    <s v="DC"/>
    <x v="69"/>
    <s v="area_code_408"/>
    <x v="0"/>
    <x v="1"/>
    <n v="0"/>
    <n v="83"/>
    <n v="64"/>
    <n v="14.11"/>
    <n v="177"/>
    <n v="106"/>
    <n v="15.05"/>
    <n v="245.7"/>
    <n v="89"/>
    <n v="11.06"/>
    <x v="14"/>
    <x v="0"/>
    <x v="14"/>
    <x v="1"/>
    <x v="0"/>
  </r>
  <r>
    <s v="MN"/>
    <x v="101"/>
    <s v="area_code_415"/>
    <x v="0"/>
    <x v="0"/>
    <n v="24"/>
    <n v="145.69999999999999"/>
    <n v="146"/>
    <n v="24.77"/>
    <n v="220.5"/>
    <n v="136"/>
    <n v="18.739999999999998"/>
    <n v="249.9"/>
    <n v="96"/>
    <n v="11.25"/>
    <x v="67"/>
    <x v="1"/>
    <x v="67"/>
    <x v="3"/>
    <x v="0"/>
  </r>
  <r>
    <s v="DE"/>
    <x v="86"/>
    <s v="area_code_408"/>
    <x v="0"/>
    <x v="1"/>
    <n v="0"/>
    <n v="182.3"/>
    <n v="101"/>
    <n v="30.99"/>
    <n v="328.2"/>
    <n v="93"/>
    <n v="27.9"/>
    <n v="245"/>
    <n v="131"/>
    <n v="11.03"/>
    <x v="7"/>
    <x v="8"/>
    <x v="7"/>
    <x v="2"/>
    <x v="0"/>
  </r>
  <r>
    <s v="MD"/>
    <x v="35"/>
    <s v="area_code_415"/>
    <x v="0"/>
    <x v="1"/>
    <n v="0"/>
    <n v="218"/>
    <n v="86"/>
    <n v="37.06"/>
    <n v="184"/>
    <n v="94"/>
    <n v="15.64"/>
    <n v="240.5"/>
    <n v="110"/>
    <n v="10.82"/>
    <x v="69"/>
    <x v="10"/>
    <x v="69"/>
    <x v="3"/>
    <x v="0"/>
  </r>
  <r>
    <s v="MI"/>
    <x v="102"/>
    <s v="area_code_510"/>
    <x v="0"/>
    <x v="1"/>
    <n v="0"/>
    <n v="140.6"/>
    <n v="109"/>
    <n v="23.9"/>
    <n v="178.6"/>
    <n v="51"/>
    <n v="15.18"/>
    <n v="217"/>
    <n v="83"/>
    <n v="9.76"/>
    <x v="36"/>
    <x v="0"/>
    <x v="36"/>
    <x v="2"/>
    <x v="0"/>
  </r>
  <r>
    <s v="WA"/>
    <x v="68"/>
    <s v="area_code_415"/>
    <x v="0"/>
    <x v="1"/>
    <n v="0"/>
    <n v="152.69999999999999"/>
    <n v="105"/>
    <n v="25.96"/>
    <n v="257.5"/>
    <n v="80"/>
    <n v="21.89"/>
    <n v="198.1"/>
    <n v="93"/>
    <n v="8.91"/>
    <x v="27"/>
    <x v="4"/>
    <x v="27"/>
    <x v="0"/>
    <x v="0"/>
  </r>
  <r>
    <s v="MO"/>
    <x v="103"/>
    <s v="area_code_415"/>
    <x v="0"/>
    <x v="0"/>
    <n v="36"/>
    <n v="106.7"/>
    <n v="76"/>
    <n v="18.14"/>
    <n v="209.8"/>
    <n v="77"/>
    <n v="17.829999999999998"/>
    <n v="190.4"/>
    <n v="117"/>
    <n v="8.57"/>
    <x v="47"/>
    <x v="5"/>
    <x v="47"/>
    <x v="0"/>
    <x v="0"/>
  </r>
  <r>
    <s v="IN"/>
    <x v="66"/>
    <s v="area_code_415"/>
    <x v="0"/>
    <x v="1"/>
    <n v="0"/>
    <n v="243.8"/>
    <n v="98"/>
    <n v="41.45"/>
    <n v="83.9"/>
    <n v="72"/>
    <n v="7.13"/>
    <n v="179.8"/>
    <n v="84"/>
    <n v="8.09"/>
    <x v="0"/>
    <x v="10"/>
    <x v="0"/>
    <x v="2"/>
    <x v="0"/>
  </r>
  <r>
    <s v="OR"/>
    <x v="45"/>
    <s v="area_code_415"/>
    <x v="0"/>
    <x v="1"/>
    <n v="0"/>
    <n v="194.4"/>
    <n v="94"/>
    <n v="33.049999999999997"/>
    <n v="186.7"/>
    <n v="95"/>
    <n v="15.87"/>
    <n v="223.3"/>
    <n v="90"/>
    <n v="10.050000000000001"/>
    <x v="81"/>
    <x v="1"/>
    <x v="81"/>
    <x v="3"/>
    <x v="0"/>
  </r>
  <r>
    <s v="MD"/>
    <x v="96"/>
    <s v="area_code_510"/>
    <x v="0"/>
    <x v="1"/>
    <n v="0"/>
    <n v="213.9"/>
    <n v="95"/>
    <n v="36.36"/>
    <n v="151.9"/>
    <n v="70"/>
    <n v="12.91"/>
    <n v="260.10000000000002"/>
    <n v="124"/>
    <n v="11.7"/>
    <x v="1"/>
    <x v="1"/>
    <x v="1"/>
    <x v="3"/>
    <x v="0"/>
  </r>
  <r>
    <s v="RI"/>
    <x v="63"/>
    <s v="area_code_510"/>
    <x v="0"/>
    <x v="1"/>
    <n v="0"/>
    <n v="217.2"/>
    <n v="112"/>
    <n v="36.92"/>
    <n v="246.7"/>
    <n v="89"/>
    <n v="20.97"/>
    <n v="226.1"/>
    <n v="89"/>
    <n v="10.17"/>
    <x v="74"/>
    <x v="2"/>
    <x v="74"/>
    <x v="3"/>
    <x v="0"/>
  </r>
  <r>
    <s v="LA"/>
    <x v="63"/>
    <s v="area_code_415"/>
    <x v="0"/>
    <x v="1"/>
    <n v="0"/>
    <n v="241.1"/>
    <n v="72"/>
    <n v="40.99"/>
    <n v="155.6"/>
    <n v="98"/>
    <n v="13.23"/>
    <n v="188.2"/>
    <n v="109"/>
    <n v="8.4700000000000006"/>
    <x v="43"/>
    <x v="11"/>
    <x v="43"/>
    <x v="0"/>
    <x v="0"/>
  </r>
  <r>
    <s v="AZ"/>
    <x v="56"/>
    <s v="area_code_510"/>
    <x v="1"/>
    <x v="1"/>
    <n v="0"/>
    <n v="203.5"/>
    <n v="100"/>
    <n v="34.6"/>
    <n v="247.6"/>
    <n v="103"/>
    <n v="21.05"/>
    <n v="194.3"/>
    <n v="94"/>
    <n v="8.74"/>
    <x v="78"/>
    <x v="12"/>
    <x v="78"/>
    <x v="1"/>
    <x v="0"/>
  </r>
  <r>
    <s v="LA"/>
    <x v="67"/>
    <s v="area_code_415"/>
    <x v="0"/>
    <x v="1"/>
    <n v="0"/>
    <n v="179.3"/>
    <n v="93"/>
    <n v="30.48"/>
    <n v="178.6"/>
    <n v="98"/>
    <n v="15.18"/>
    <n v="225.2"/>
    <n v="131"/>
    <n v="10.130000000000001"/>
    <x v="73"/>
    <x v="3"/>
    <x v="73"/>
    <x v="3"/>
    <x v="0"/>
  </r>
  <r>
    <s v="FL"/>
    <x v="64"/>
    <s v="area_code_415"/>
    <x v="0"/>
    <x v="1"/>
    <n v="0"/>
    <n v="180"/>
    <n v="80"/>
    <n v="30.6"/>
    <n v="224.2"/>
    <n v="82"/>
    <n v="19.059999999999999"/>
    <n v="265.39999999999998"/>
    <n v="91"/>
    <n v="11.94"/>
    <x v="86"/>
    <x v="2"/>
    <x v="86"/>
    <x v="3"/>
    <x v="0"/>
  </r>
  <r>
    <s v="AL"/>
    <x v="96"/>
    <s v="area_code_415"/>
    <x v="0"/>
    <x v="1"/>
    <n v="0"/>
    <n v="223"/>
    <n v="121"/>
    <n v="37.909999999999997"/>
    <n v="110.1"/>
    <n v="98"/>
    <n v="9.36"/>
    <n v="188.7"/>
    <n v="107"/>
    <n v="8.49"/>
    <x v="5"/>
    <x v="14"/>
    <x v="5"/>
    <x v="1"/>
    <x v="0"/>
  </r>
  <r>
    <s v="WA"/>
    <x v="40"/>
    <s v="area_code_415"/>
    <x v="0"/>
    <x v="1"/>
    <n v="0"/>
    <n v="183.6"/>
    <n v="116"/>
    <n v="31.21"/>
    <n v="152.6"/>
    <n v="98"/>
    <n v="12.97"/>
    <n v="212.2"/>
    <n v="99"/>
    <n v="9.5500000000000007"/>
    <x v="1"/>
    <x v="3"/>
    <x v="1"/>
    <x v="3"/>
    <x v="0"/>
  </r>
  <r>
    <s v="TN"/>
    <x v="76"/>
    <s v="area_code_408"/>
    <x v="0"/>
    <x v="0"/>
    <n v="22"/>
    <n v="166"/>
    <n v="114"/>
    <n v="28.22"/>
    <n v="174.5"/>
    <n v="103"/>
    <n v="14.83"/>
    <n v="244.9"/>
    <n v="68"/>
    <n v="11.02"/>
    <x v="39"/>
    <x v="3"/>
    <x v="39"/>
    <x v="0"/>
    <x v="0"/>
  </r>
  <r>
    <s v="MS"/>
    <x v="8"/>
    <s v="area_code_415"/>
    <x v="0"/>
    <x v="1"/>
    <n v="0"/>
    <n v="136.1"/>
    <n v="112"/>
    <n v="23.14"/>
    <n v="272.89999999999998"/>
    <n v="96"/>
    <n v="23.2"/>
    <n v="220.2"/>
    <n v="104"/>
    <n v="9.91"/>
    <x v="59"/>
    <x v="5"/>
    <x v="59"/>
    <x v="0"/>
    <x v="0"/>
  </r>
  <r>
    <s v="ME"/>
    <x v="104"/>
    <s v="area_code_408"/>
    <x v="0"/>
    <x v="1"/>
    <n v="0"/>
    <n v="149.30000000000001"/>
    <n v="113"/>
    <n v="25.38"/>
    <n v="242.2"/>
    <n v="122"/>
    <n v="20.59"/>
    <n v="174.3"/>
    <n v="104"/>
    <n v="7.84"/>
    <x v="56"/>
    <x v="3"/>
    <x v="56"/>
    <x v="2"/>
    <x v="0"/>
  </r>
  <r>
    <s v="OK"/>
    <x v="105"/>
    <s v="area_code_408"/>
    <x v="0"/>
    <x v="1"/>
    <n v="0"/>
    <n v="65.400000000000006"/>
    <n v="97"/>
    <n v="11.12"/>
    <n v="168.2"/>
    <n v="76"/>
    <n v="14.3"/>
    <n v="236"/>
    <n v="113"/>
    <n v="10.62"/>
    <x v="12"/>
    <x v="8"/>
    <x v="12"/>
    <x v="2"/>
    <x v="0"/>
  </r>
  <r>
    <s v="IN"/>
    <x v="8"/>
    <s v="area_code_415"/>
    <x v="0"/>
    <x v="1"/>
    <n v="0"/>
    <n v="213.4"/>
    <n v="111"/>
    <n v="36.28"/>
    <n v="234.5"/>
    <n v="94"/>
    <n v="19.93"/>
    <n v="250.1"/>
    <n v="123"/>
    <n v="11.25"/>
    <x v="87"/>
    <x v="4"/>
    <x v="87"/>
    <x v="0"/>
    <x v="0"/>
  </r>
  <r>
    <s v="MO"/>
    <x v="106"/>
    <s v="area_code_415"/>
    <x v="0"/>
    <x v="1"/>
    <n v="0"/>
    <n v="206.9"/>
    <n v="85"/>
    <n v="35.17"/>
    <n v="244.7"/>
    <n v="78"/>
    <n v="20.8"/>
    <n v="221.5"/>
    <n v="136"/>
    <n v="9.9700000000000006"/>
    <x v="18"/>
    <x v="5"/>
    <x v="18"/>
    <x v="3"/>
    <x v="0"/>
  </r>
  <r>
    <s v="IA"/>
    <x v="49"/>
    <s v="area_code_408"/>
    <x v="0"/>
    <x v="0"/>
    <n v="27"/>
    <n v="186.2"/>
    <n v="78"/>
    <n v="31.65"/>
    <n v="189.6"/>
    <n v="83"/>
    <n v="16.12"/>
    <n v="76.5"/>
    <n v="139"/>
    <n v="3.44"/>
    <x v="63"/>
    <x v="0"/>
    <x v="63"/>
    <x v="2"/>
    <x v="0"/>
  </r>
  <r>
    <s v="KY"/>
    <x v="107"/>
    <s v="area_code_415"/>
    <x v="0"/>
    <x v="0"/>
    <n v="22"/>
    <n v="196.6"/>
    <n v="84"/>
    <n v="33.42"/>
    <n v="313.2"/>
    <n v="92"/>
    <n v="26.62"/>
    <n v="163.30000000000001"/>
    <n v="108"/>
    <n v="7.35"/>
    <x v="78"/>
    <x v="0"/>
    <x v="78"/>
    <x v="1"/>
    <x v="0"/>
  </r>
  <r>
    <s v="MD"/>
    <x v="67"/>
    <s v="area_code_408"/>
    <x v="1"/>
    <x v="1"/>
    <n v="0"/>
    <n v="312"/>
    <n v="109"/>
    <n v="53.04"/>
    <n v="129.4"/>
    <n v="100"/>
    <n v="11"/>
    <n v="217.6"/>
    <n v="74"/>
    <n v="9.7899999999999991"/>
    <x v="26"/>
    <x v="5"/>
    <x v="26"/>
    <x v="1"/>
    <x v="1"/>
  </r>
  <r>
    <s v="OH"/>
    <x v="69"/>
    <s v="area_code_415"/>
    <x v="1"/>
    <x v="0"/>
    <n v="36"/>
    <n v="199"/>
    <n v="110"/>
    <n v="33.83"/>
    <n v="291.3"/>
    <n v="111"/>
    <n v="24.76"/>
    <n v="197.6"/>
    <n v="92"/>
    <n v="8.89"/>
    <x v="34"/>
    <x v="3"/>
    <x v="34"/>
    <x v="0"/>
    <x v="0"/>
  </r>
  <r>
    <s v="OK"/>
    <x v="108"/>
    <s v="area_code_415"/>
    <x v="0"/>
    <x v="1"/>
    <n v="0"/>
    <n v="203.1"/>
    <n v="96"/>
    <n v="34.53"/>
    <n v="217"/>
    <n v="126"/>
    <n v="18.45"/>
    <n v="180.9"/>
    <n v="122"/>
    <n v="8.14"/>
    <x v="88"/>
    <x v="5"/>
    <x v="88"/>
    <x v="3"/>
    <x v="0"/>
  </r>
  <r>
    <s v="NV"/>
    <x v="101"/>
    <s v="area_code_415"/>
    <x v="0"/>
    <x v="1"/>
    <n v="0"/>
    <n v="168.8"/>
    <n v="97"/>
    <n v="28.7"/>
    <n v="220.3"/>
    <n v="87"/>
    <n v="18.73"/>
    <n v="154.30000000000001"/>
    <n v="113"/>
    <n v="6.94"/>
    <x v="54"/>
    <x v="5"/>
    <x v="54"/>
    <x v="1"/>
    <x v="0"/>
  </r>
  <r>
    <s v="ID"/>
    <x v="73"/>
    <s v="area_code_415"/>
    <x v="1"/>
    <x v="1"/>
    <n v="0"/>
    <n v="173.1"/>
    <n v="140"/>
    <n v="29.43"/>
    <n v="240.3"/>
    <n v="105"/>
    <n v="20.43"/>
    <n v="233.2"/>
    <n v="117"/>
    <n v="10.49"/>
    <x v="62"/>
    <x v="1"/>
    <x v="62"/>
    <x v="0"/>
    <x v="0"/>
  </r>
  <r>
    <s v="MN"/>
    <x v="83"/>
    <s v="area_code_510"/>
    <x v="0"/>
    <x v="1"/>
    <n v="0"/>
    <n v="134.4"/>
    <n v="106"/>
    <n v="22.85"/>
    <n v="211.3"/>
    <n v="98"/>
    <n v="17.96"/>
    <n v="193.6"/>
    <n v="125"/>
    <n v="8.7100000000000009"/>
    <x v="39"/>
    <x v="5"/>
    <x v="39"/>
    <x v="5"/>
    <x v="1"/>
  </r>
  <r>
    <s v="SD"/>
    <x v="77"/>
    <s v="area_code_408"/>
    <x v="0"/>
    <x v="0"/>
    <n v="40"/>
    <n v="202.6"/>
    <n v="103"/>
    <n v="34.44"/>
    <n v="118.8"/>
    <n v="128"/>
    <n v="10.1"/>
    <n v="234.9"/>
    <n v="98"/>
    <n v="10.57"/>
    <x v="62"/>
    <x v="6"/>
    <x v="62"/>
    <x v="2"/>
    <x v="0"/>
  </r>
  <r>
    <s v="IL"/>
    <x v="77"/>
    <s v="area_code_408"/>
    <x v="0"/>
    <x v="1"/>
    <n v="0"/>
    <n v="74.5"/>
    <n v="117"/>
    <n v="12.67"/>
    <n v="200.8"/>
    <n v="98"/>
    <n v="17.07"/>
    <n v="192.2"/>
    <n v="101"/>
    <n v="8.65"/>
    <x v="52"/>
    <x v="2"/>
    <x v="52"/>
    <x v="3"/>
    <x v="0"/>
  </r>
  <r>
    <s v="WY"/>
    <x v="109"/>
    <s v="area_code_510"/>
    <x v="0"/>
    <x v="1"/>
    <n v="0"/>
    <n v="83.6"/>
    <n v="148"/>
    <n v="14.21"/>
    <n v="120.9"/>
    <n v="91"/>
    <n v="10.28"/>
    <n v="226.6"/>
    <n v="110"/>
    <n v="10.199999999999999"/>
    <x v="85"/>
    <x v="6"/>
    <x v="85"/>
    <x v="1"/>
    <x v="0"/>
  </r>
  <r>
    <s v="NJ"/>
    <x v="51"/>
    <s v="area_code_510"/>
    <x v="0"/>
    <x v="1"/>
    <n v="0"/>
    <n v="220.2"/>
    <n v="89"/>
    <n v="37.43"/>
    <n v="88.3"/>
    <n v="125"/>
    <n v="7.51"/>
    <n v="195.3"/>
    <n v="79"/>
    <n v="8.7899999999999991"/>
    <x v="89"/>
    <x v="1"/>
    <x v="89"/>
    <x v="1"/>
    <x v="0"/>
  </r>
  <r>
    <s v="NV"/>
    <x v="1"/>
    <s v="area_code_415"/>
    <x v="1"/>
    <x v="1"/>
    <n v="0"/>
    <n v="135.1"/>
    <n v="95"/>
    <n v="22.97"/>
    <n v="134.1"/>
    <n v="102"/>
    <n v="11.4"/>
    <n v="223.1"/>
    <n v="81"/>
    <n v="10.039999999999999"/>
    <x v="10"/>
    <x v="5"/>
    <x v="10"/>
    <x v="2"/>
    <x v="1"/>
  </r>
  <r>
    <s v="WV"/>
    <x v="13"/>
    <s v="area_code_408"/>
    <x v="0"/>
    <x v="1"/>
    <n v="0"/>
    <n v="225"/>
    <n v="81"/>
    <n v="38.25"/>
    <n v="176.9"/>
    <n v="63"/>
    <n v="15.04"/>
    <n v="194.3"/>
    <n v="110"/>
    <n v="8.74"/>
    <x v="5"/>
    <x v="5"/>
    <x v="5"/>
    <x v="3"/>
    <x v="0"/>
  </r>
  <r>
    <s v="SC"/>
    <x v="110"/>
    <s v="area_code_408"/>
    <x v="0"/>
    <x v="1"/>
    <n v="0"/>
    <n v="110.3"/>
    <n v="107"/>
    <n v="18.75"/>
    <n v="166.5"/>
    <n v="93"/>
    <n v="14.15"/>
    <n v="202.3"/>
    <n v="96"/>
    <n v="9.1"/>
    <x v="17"/>
    <x v="1"/>
    <x v="17"/>
    <x v="1"/>
    <x v="0"/>
  </r>
  <r>
    <s v="RI"/>
    <x v="0"/>
    <s v="area_code_415"/>
    <x v="0"/>
    <x v="0"/>
    <n v="37"/>
    <n v="60"/>
    <n v="102"/>
    <n v="10.199999999999999"/>
    <n v="102.2"/>
    <n v="80"/>
    <n v="8.69"/>
    <n v="261.8"/>
    <n v="106"/>
    <n v="11.78"/>
    <x v="22"/>
    <x v="0"/>
    <x v="22"/>
    <x v="1"/>
    <x v="0"/>
  </r>
  <r>
    <s v="IN"/>
    <x v="97"/>
    <s v="area_code_510"/>
    <x v="0"/>
    <x v="1"/>
    <n v="0"/>
    <n v="214.8"/>
    <n v="94"/>
    <n v="36.520000000000003"/>
    <n v="149.69999999999999"/>
    <n v="58"/>
    <n v="12.72"/>
    <n v="283.39999999999998"/>
    <n v="66"/>
    <n v="12.75"/>
    <x v="39"/>
    <x v="1"/>
    <x v="39"/>
    <x v="1"/>
    <x v="0"/>
  </r>
  <r>
    <s v="AZ"/>
    <x v="60"/>
    <s v="area_code_408"/>
    <x v="0"/>
    <x v="1"/>
    <n v="0"/>
    <n v="181.8"/>
    <n v="85"/>
    <n v="30.91"/>
    <n v="202.4"/>
    <n v="98"/>
    <n v="17.2"/>
    <n v="245.9"/>
    <n v="97"/>
    <n v="11.07"/>
    <x v="29"/>
    <x v="5"/>
    <x v="29"/>
    <x v="4"/>
    <x v="0"/>
  </r>
  <r>
    <s v="OR"/>
    <x v="111"/>
    <s v="area_code_415"/>
    <x v="0"/>
    <x v="0"/>
    <n v="29"/>
    <n v="157.4"/>
    <n v="99"/>
    <n v="26.76"/>
    <n v="117.9"/>
    <n v="80"/>
    <n v="10.02"/>
    <n v="279.2"/>
    <n v="79"/>
    <n v="12.56"/>
    <x v="55"/>
    <x v="12"/>
    <x v="55"/>
    <x v="4"/>
    <x v="1"/>
  </r>
  <r>
    <s v="NJ"/>
    <x v="96"/>
    <s v="area_code_415"/>
    <x v="0"/>
    <x v="1"/>
    <n v="0"/>
    <n v="207.9"/>
    <n v="91"/>
    <n v="35.340000000000003"/>
    <n v="172"/>
    <n v="109"/>
    <n v="14.62"/>
    <n v="191.8"/>
    <n v="143"/>
    <n v="8.6300000000000008"/>
    <x v="90"/>
    <x v="2"/>
    <x v="90"/>
    <x v="4"/>
    <x v="0"/>
  </r>
  <r>
    <s v="MI"/>
    <x v="112"/>
    <s v="area_code_510"/>
    <x v="0"/>
    <x v="0"/>
    <n v="41"/>
    <n v="119"/>
    <n v="101"/>
    <n v="20.23"/>
    <n v="230"/>
    <n v="134"/>
    <n v="19.55"/>
    <n v="236.9"/>
    <n v="58"/>
    <n v="10.66"/>
    <x v="17"/>
    <x v="0"/>
    <x v="17"/>
    <x v="1"/>
    <x v="0"/>
  </r>
  <r>
    <s v="TX"/>
    <x v="35"/>
    <s v="area_code_415"/>
    <x v="1"/>
    <x v="1"/>
    <n v="0"/>
    <n v="143.69999999999999"/>
    <n v="117"/>
    <n v="24.43"/>
    <n v="273"/>
    <n v="82"/>
    <n v="23.21"/>
    <n v="178.3"/>
    <n v="81"/>
    <n v="8.02"/>
    <x v="54"/>
    <x v="0"/>
    <x v="54"/>
    <x v="1"/>
    <x v="0"/>
  </r>
  <r>
    <s v="FL"/>
    <x v="96"/>
    <s v="area_code_408"/>
    <x v="0"/>
    <x v="0"/>
    <n v="32"/>
    <n v="165.9"/>
    <n v="126"/>
    <n v="28.2"/>
    <n v="216.5"/>
    <n v="93"/>
    <n v="18.399999999999999"/>
    <n v="173.1"/>
    <n v="86"/>
    <n v="7.79"/>
    <x v="71"/>
    <x v="10"/>
    <x v="71"/>
    <x v="4"/>
    <x v="0"/>
  </r>
  <r>
    <s v="DC"/>
    <x v="65"/>
    <s v="area_code_510"/>
    <x v="0"/>
    <x v="1"/>
    <n v="0"/>
    <n v="138.6"/>
    <n v="122"/>
    <n v="23.56"/>
    <n v="172.3"/>
    <n v="117"/>
    <n v="14.65"/>
    <n v="231.6"/>
    <n v="92"/>
    <n v="10.42"/>
    <x v="52"/>
    <x v="0"/>
    <x v="52"/>
    <x v="0"/>
    <x v="0"/>
  </r>
  <r>
    <s v="TX"/>
    <x v="113"/>
    <s v="area_code_415"/>
    <x v="0"/>
    <x v="1"/>
    <n v="0"/>
    <n v="84.7"/>
    <n v="118"/>
    <n v="14.4"/>
    <n v="249.9"/>
    <n v="86"/>
    <n v="21.24"/>
    <n v="193.4"/>
    <n v="95"/>
    <n v="8.6999999999999993"/>
    <x v="25"/>
    <x v="10"/>
    <x v="25"/>
    <x v="0"/>
    <x v="0"/>
  </r>
  <r>
    <s v="KS"/>
    <x v="73"/>
    <s v="area_code_408"/>
    <x v="1"/>
    <x v="1"/>
    <n v="0"/>
    <n v="62.6"/>
    <n v="111"/>
    <n v="10.64"/>
    <n v="180.6"/>
    <n v="126"/>
    <n v="15.35"/>
    <n v="221.7"/>
    <n v="80"/>
    <n v="9.98"/>
    <x v="91"/>
    <x v="5"/>
    <x v="91"/>
    <x v="0"/>
    <x v="1"/>
  </r>
  <r>
    <s v="UT"/>
    <x v="33"/>
    <s v="area_code_510"/>
    <x v="0"/>
    <x v="1"/>
    <n v="0"/>
    <n v="155.19999999999999"/>
    <n v="79"/>
    <n v="26.38"/>
    <n v="235.3"/>
    <n v="123"/>
    <n v="20"/>
    <n v="169.4"/>
    <n v="80"/>
    <n v="7.62"/>
    <x v="6"/>
    <x v="4"/>
    <x v="6"/>
    <x v="0"/>
    <x v="0"/>
  </r>
  <r>
    <s v="MN"/>
    <x v="114"/>
    <s v="area_code_510"/>
    <x v="0"/>
    <x v="0"/>
    <n v="25"/>
    <n v="164.9"/>
    <n v="110"/>
    <n v="28.03"/>
    <n v="209.3"/>
    <n v="105"/>
    <n v="17.79"/>
    <n v="231.2"/>
    <n v="55"/>
    <n v="10.4"/>
    <x v="92"/>
    <x v="6"/>
    <x v="92"/>
    <x v="0"/>
    <x v="0"/>
  </r>
  <r>
    <s v="IL"/>
    <x v="81"/>
    <s v="area_code_408"/>
    <x v="0"/>
    <x v="1"/>
    <n v="0"/>
    <n v="134.5"/>
    <n v="88"/>
    <n v="22.87"/>
    <n v="143.1"/>
    <n v="112"/>
    <n v="12.16"/>
    <n v="223.9"/>
    <n v="61"/>
    <n v="10.08"/>
    <x v="93"/>
    <x v="8"/>
    <x v="93"/>
    <x v="0"/>
    <x v="0"/>
  </r>
  <r>
    <s v="NM"/>
    <x v="6"/>
    <s v="area_code_415"/>
    <x v="0"/>
    <x v="1"/>
    <n v="0"/>
    <n v="143.30000000000001"/>
    <n v="103"/>
    <n v="24.36"/>
    <n v="211.3"/>
    <n v="108"/>
    <n v="17.96"/>
    <n v="185.2"/>
    <n v="96"/>
    <n v="8.33"/>
    <x v="73"/>
    <x v="0"/>
    <x v="73"/>
    <x v="0"/>
    <x v="0"/>
  </r>
  <r>
    <s v="SC"/>
    <x v="26"/>
    <s v="area_code_510"/>
    <x v="0"/>
    <x v="1"/>
    <n v="0"/>
    <n v="168.3"/>
    <n v="110"/>
    <n v="28.61"/>
    <n v="221.2"/>
    <n v="73"/>
    <n v="18.8"/>
    <n v="241"/>
    <n v="136"/>
    <n v="10.85"/>
    <x v="60"/>
    <x v="8"/>
    <x v="60"/>
    <x v="0"/>
    <x v="0"/>
  </r>
  <r>
    <s v="NC"/>
    <x v="61"/>
    <s v="area_code_408"/>
    <x v="0"/>
    <x v="1"/>
    <n v="0"/>
    <n v="262.39999999999998"/>
    <n v="55"/>
    <n v="44.61"/>
    <n v="194.6"/>
    <n v="113"/>
    <n v="16.54"/>
    <n v="146.5"/>
    <n v="85"/>
    <n v="6.59"/>
    <x v="24"/>
    <x v="3"/>
    <x v="24"/>
    <x v="2"/>
    <x v="0"/>
  </r>
  <r>
    <s v="WV"/>
    <x v="113"/>
    <s v="area_code_510"/>
    <x v="0"/>
    <x v="0"/>
    <n v="30"/>
    <n v="206.2"/>
    <n v="79"/>
    <n v="35.049999999999997"/>
    <n v="260"/>
    <n v="91"/>
    <n v="22.1"/>
    <n v="291.60000000000002"/>
    <n v="83"/>
    <n v="13.12"/>
    <x v="37"/>
    <x v="3"/>
    <x v="37"/>
    <x v="0"/>
    <x v="0"/>
  </r>
  <r>
    <s v="RI"/>
    <x v="113"/>
    <s v="area_code_510"/>
    <x v="0"/>
    <x v="0"/>
    <n v="28"/>
    <n v="225.8"/>
    <n v="94"/>
    <n v="38.39"/>
    <n v="193"/>
    <n v="117"/>
    <n v="16.41"/>
    <n v="232.4"/>
    <n v="100"/>
    <n v="10.46"/>
    <x v="80"/>
    <x v="6"/>
    <x v="80"/>
    <x v="4"/>
    <x v="0"/>
  </r>
  <r>
    <s v="NH"/>
    <x v="115"/>
    <s v="area_code_408"/>
    <x v="0"/>
    <x v="1"/>
    <n v="0"/>
    <n v="138.30000000000001"/>
    <n v="89"/>
    <n v="23.51"/>
    <n v="170.5"/>
    <n v="78"/>
    <n v="14.49"/>
    <n v="263.89999999999998"/>
    <n v="98"/>
    <n v="11.88"/>
    <x v="88"/>
    <x v="3"/>
    <x v="88"/>
    <x v="3"/>
    <x v="0"/>
  </r>
  <r>
    <s v="MA"/>
    <x v="98"/>
    <s v="area_code_408"/>
    <x v="1"/>
    <x v="1"/>
    <n v="0"/>
    <n v="160"/>
    <n v="123"/>
    <n v="27.2"/>
    <n v="175.4"/>
    <n v="96"/>
    <n v="14.91"/>
    <n v="184.8"/>
    <n v="99"/>
    <n v="8.32"/>
    <x v="79"/>
    <x v="0"/>
    <x v="79"/>
    <x v="2"/>
    <x v="0"/>
  </r>
  <r>
    <s v="PA"/>
    <x v="116"/>
    <s v="area_code_415"/>
    <x v="0"/>
    <x v="1"/>
    <n v="0"/>
    <n v="206.6"/>
    <n v="105"/>
    <n v="35.119999999999997"/>
    <n v="224.9"/>
    <n v="117"/>
    <n v="19.12"/>
    <n v="249.9"/>
    <n v="100"/>
    <n v="11.25"/>
    <x v="28"/>
    <x v="0"/>
    <x v="28"/>
    <x v="1"/>
    <x v="0"/>
  </r>
  <r>
    <s v="OK"/>
    <x v="6"/>
    <s v="area_code_415"/>
    <x v="0"/>
    <x v="1"/>
    <n v="0"/>
    <n v="134.69999999999999"/>
    <n v="121"/>
    <n v="22.9"/>
    <n v="180"/>
    <n v="83"/>
    <n v="15.3"/>
    <n v="200.9"/>
    <n v="104"/>
    <n v="9.0399999999999991"/>
    <x v="18"/>
    <x v="0"/>
    <x v="18"/>
    <x v="0"/>
    <x v="0"/>
  </r>
  <r>
    <s v="AL"/>
    <x v="23"/>
    <s v="area_code_415"/>
    <x v="0"/>
    <x v="0"/>
    <n v="28"/>
    <n v="214.4"/>
    <n v="78"/>
    <n v="36.450000000000003"/>
    <n v="235.2"/>
    <n v="100"/>
    <n v="19.989999999999998"/>
    <n v="206.2"/>
    <n v="107"/>
    <n v="9.2799999999999994"/>
    <x v="40"/>
    <x v="15"/>
    <x v="40"/>
    <x v="3"/>
    <x v="0"/>
  </r>
  <r>
    <s v="WY"/>
    <x v="83"/>
    <s v="area_code_415"/>
    <x v="0"/>
    <x v="1"/>
    <n v="0"/>
    <n v="192.8"/>
    <n v="104"/>
    <n v="32.78"/>
    <n v="234.4"/>
    <n v="96"/>
    <n v="19.920000000000002"/>
    <n v="203.2"/>
    <n v="101"/>
    <n v="9.14"/>
    <x v="14"/>
    <x v="0"/>
    <x v="14"/>
    <x v="3"/>
    <x v="0"/>
  </r>
  <r>
    <s v="PA"/>
    <x v="73"/>
    <s v="area_code_408"/>
    <x v="0"/>
    <x v="0"/>
    <n v="28"/>
    <n v="151.1"/>
    <n v="90"/>
    <n v="25.69"/>
    <n v="194.8"/>
    <n v="79"/>
    <n v="16.559999999999999"/>
    <n v="239.2"/>
    <n v="114"/>
    <n v="10.76"/>
    <x v="13"/>
    <x v="0"/>
    <x v="13"/>
    <x v="0"/>
    <x v="0"/>
  </r>
  <r>
    <s v="HI"/>
    <x v="88"/>
    <s v="area_code_510"/>
    <x v="1"/>
    <x v="1"/>
    <n v="0"/>
    <n v="218.9"/>
    <n v="88"/>
    <n v="37.21"/>
    <n v="208"/>
    <n v="85"/>
    <n v="17.68"/>
    <n v="203.3"/>
    <n v="99"/>
    <n v="9.15"/>
    <x v="22"/>
    <x v="4"/>
    <x v="22"/>
    <x v="1"/>
    <x v="0"/>
  </r>
  <r>
    <s v="SD"/>
    <x v="56"/>
    <s v="area_code_408"/>
    <x v="0"/>
    <x v="0"/>
    <n v="48"/>
    <n v="189.8"/>
    <n v="96"/>
    <n v="32.270000000000003"/>
    <n v="123.4"/>
    <n v="67"/>
    <n v="10.49"/>
    <n v="214.2"/>
    <n v="106"/>
    <n v="9.64"/>
    <x v="94"/>
    <x v="5"/>
    <x v="94"/>
    <x v="2"/>
    <x v="1"/>
  </r>
  <r>
    <s v="AL"/>
    <x v="100"/>
    <s v="area_code_415"/>
    <x v="0"/>
    <x v="0"/>
    <n v="25"/>
    <n v="192.7"/>
    <n v="85"/>
    <n v="32.76"/>
    <n v="225.9"/>
    <n v="105"/>
    <n v="19.2"/>
    <n v="254.2"/>
    <n v="59"/>
    <n v="11.44"/>
    <x v="54"/>
    <x v="3"/>
    <x v="54"/>
    <x v="2"/>
    <x v="0"/>
  </r>
  <r>
    <s v="VT"/>
    <x v="117"/>
    <s v="area_code_510"/>
    <x v="1"/>
    <x v="1"/>
    <n v="0"/>
    <n v="204.4"/>
    <n v="135"/>
    <n v="34.75"/>
    <n v="219.1"/>
    <n v="90"/>
    <n v="18.62"/>
    <n v="222.7"/>
    <n v="114"/>
    <n v="10.02"/>
    <x v="26"/>
    <x v="3"/>
    <x v="26"/>
    <x v="3"/>
    <x v="0"/>
  </r>
  <r>
    <s v="MT"/>
    <x v="118"/>
    <s v="area_code_415"/>
    <x v="0"/>
    <x v="1"/>
    <n v="0"/>
    <n v="172.3"/>
    <n v="97"/>
    <n v="29.29"/>
    <n v="174"/>
    <n v="108"/>
    <n v="14.79"/>
    <n v="188.2"/>
    <n v="119"/>
    <n v="8.4700000000000006"/>
    <x v="14"/>
    <x v="4"/>
    <x v="14"/>
    <x v="2"/>
    <x v="0"/>
  </r>
  <r>
    <s v="MN"/>
    <x v="40"/>
    <s v="area_code_415"/>
    <x v="0"/>
    <x v="1"/>
    <n v="0"/>
    <n v="198.4"/>
    <n v="93"/>
    <n v="33.729999999999997"/>
    <n v="210.9"/>
    <n v="108"/>
    <n v="17.93"/>
    <n v="193.3"/>
    <n v="71"/>
    <n v="8.6999999999999993"/>
    <x v="91"/>
    <x v="3"/>
    <x v="91"/>
    <x v="2"/>
    <x v="0"/>
  </r>
  <r>
    <s v="AK"/>
    <x v="119"/>
    <s v="area_code_415"/>
    <x v="0"/>
    <x v="0"/>
    <n v="37"/>
    <n v="211.7"/>
    <n v="115"/>
    <n v="35.99"/>
    <n v="159.9"/>
    <n v="84"/>
    <n v="13.59"/>
    <n v="144.1"/>
    <n v="80"/>
    <n v="6.48"/>
    <x v="1"/>
    <x v="8"/>
    <x v="1"/>
    <x v="0"/>
    <x v="0"/>
  </r>
  <r>
    <s v="SD"/>
    <x v="79"/>
    <s v="area_code_408"/>
    <x v="0"/>
    <x v="0"/>
    <n v="24"/>
    <n v="147.5"/>
    <n v="90"/>
    <n v="25.08"/>
    <n v="175.7"/>
    <n v="108"/>
    <n v="14.93"/>
    <n v="252.1"/>
    <n v="102"/>
    <n v="11.34"/>
    <x v="95"/>
    <x v="0"/>
    <x v="95"/>
    <x v="2"/>
    <x v="0"/>
  </r>
  <r>
    <s v="MI"/>
    <x v="1"/>
    <s v="area_code_510"/>
    <x v="0"/>
    <x v="1"/>
    <n v="0"/>
    <n v="206.4"/>
    <n v="122"/>
    <n v="35.090000000000003"/>
    <n v="128"/>
    <n v="102"/>
    <n v="10.88"/>
    <n v="194.5"/>
    <n v="84"/>
    <n v="8.75"/>
    <x v="82"/>
    <x v="1"/>
    <x v="82"/>
    <x v="2"/>
    <x v="0"/>
  </r>
  <r>
    <s v="KS"/>
    <x v="1"/>
    <s v="area_code_408"/>
    <x v="0"/>
    <x v="1"/>
    <n v="0"/>
    <n v="205.9"/>
    <n v="88"/>
    <n v="35"/>
    <n v="209.3"/>
    <n v="86"/>
    <n v="17.79"/>
    <n v="289.89999999999998"/>
    <n v="84"/>
    <n v="13.05"/>
    <x v="25"/>
    <x v="4"/>
    <x v="25"/>
    <x v="2"/>
    <x v="0"/>
  </r>
  <r>
    <s v="AL"/>
    <x v="120"/>
    <s v="area_code_510"/>
    <x v="0"/>
    <x v="1"/>
    <n v="0"/>
    <n v="207.6"/>
    <n v="88"/>
    <n v="35.29"/>
    <n v="132.4"/>
    <n v="63"/>
    <n v="11.25"/>
    <n v="255.2"/>
    <n v="98"/>
    <n v="11.48"/>
    <x v="71"/>
    <x v="1"/>
    <x v="71"/>
    <x v="1"/>
    <x v="0"/>
  </r>
  <r>
    <s v="OK"/>
    <x v="121"/>
    <s v="area_code_510"/>
    <x v="0"/>
    <x v="1"/>
    <n v="0"/>
    <n v="303.89999999999998"/>
    <n v="95"/>
    <n v="51.66"/>
    <n v="260.89999999999998"/>
    <n v="114"/>
    <n v="22.18"/>
    <n v="312.10000000000002"/>
    <n v="89"/>
    <n v="14.04"/>
    <x v="58"/>
    <x v="0"/>
    <x v="58"/>
    <x v="0"/>
    <x v="1"/>
  </r>
  <r>
    <s v="CT"/>
    <x v="122"/>
    <s v="area_code_415"/>
    <x v="0"/>
    <x v="0"/>
    <n v="34"/>
    <n v="230.6"/>
    <n v="121"/>
    <n v="39.200000000000003"/>
    <n v="219.4"/>
    <n v="99"/>
    <n v="18.649999999999999"/>
    <n v="299.3"/>
    <n v="94"/>
    <n v="13.47"/>
    <x v="40"/>
    <x v="5"/>
    <x v="40"/>
    <x v="1"/>
    <x v="0"/>
  </r>
  <r>
    <s v="NE"/>
    <x v="19"/>
    <s v="area_code_510"/>
    <x v="0"/>
    <x v="1"/>
    <n v="0"/>
    <n v="99.5"/>
    <n v="110"/>
    <n v="16.920000000000002"/>
    <n v="129.1"/>
    <n v="80"/>
    <n v="10.97"/>
    <n v="125.1"/>
    <n v="124"/>
    <n v="5.63"/>
    <x v="84"/>
    <x v="0"/>
    <x v="84"/>
    <x v="1"/>
    <x v="0"/>
  </r>
  <r>
    <s v="WI"/>
    <x v="60"/>
    <s v="area_code_510"/>
    <x v="0"/>
    <x v="1"/>
    <n v="0"/>
    <n v="177.1"/>
    <n v="112"/>
    <n v="30.11"/>
    <n v="194"/>
    <n v="112"/>
    <n v="16.489999999999998"/>
    <n v="146.69999999999999"/>
    <n v="108"/>
    <n v="6.6"/>
    <x v="96"/>
    <x v="4"/>
    <x v="96"/>
    <x v="0"/>
    <x v="0"/>
  </r>
  <r>
    <s v="WI"/>
    <x v="39"/>
    <s v="area_code_510"/>
    <x v="0"/>
    <x v="0"/>
    <n v="18"/>
    <n v="172.7"/>
    <n v="86"/>
    <n v="29.36"/>
    <n v="133.4"/>
    <n v="113"/>
    <n v="11.34"/>
    <n v="259.5"/>
    <n v="70"/>
    <n v="11.68"/>
    <x v="52"/>
    <x v="0"/>
    <x v="52"/>
    <x v="0"/>
    <x v="0"/>
  </r>
  <r>
    <s v="IN"/>
    <x v="123"/>
    <s v="area_code_510"/>
    <x v="0"/>
    <x v="1"/>
    <n v="0"/>
    <n v="204.2"/>
    <n v="115"/>
    <n v="34.71"/>
    <n v="179.9"/>
    <n v="152"/>
    <n v="15.29"/>
    <n v="216.8"/>
    <n v="109"/>
    <n v="9.76"/>
    <x v="17"/>
    <x v="1"/>
    <x v="17"/>
    <x v="0"/>
    <x v="0"/>
  </r>
  <r>
    <s v="DC"/>
    <x v="9"/>
    <s v="area_code_415"/>
    <x v="0"/>
    <x v="1"/>
    <n v="0"/>
    <n v="85.7"/>
    <n v="83"/>
    <n v="14.57"/>
    <n v="247.7"/>
    <n v="67"/>
    <n v="21.05"/>
    <n v="142.4"/>
    <n v="85"/>
    <n v="6.41"/>
    <x v="3"/>
    <x v="1"/>
    <x v="3"/>
    <x v="2"/>
    <x v="0"/>
  </r>
  <r>
    <s v="AR"/>
    <x v="25"/>
    <s v="area_code_415"/>
    <x v="0"/>
    <x v="1"/>
    <n v="0"/>
    <n v="157.6"/>
    <n v="117"/>
    <n v="26.79"/>
    <n v="184.3"/>
    <n v="58"/>
    <n v="15.67"/>
    <n v="240.4"/>
    <n v="99"/>
    <n v="10.82"/>
    <x v="78"/>
    <x v="8"/>
    <x v="78"/>
    <x v="1"/>
    <x v="0"/>
  </r>
  <r>
    <s v="ME"/>
    <x v="48"/>
    <s v="area_code_415"/>
    <x v="0"/>
    <x v="1"/>
    <n v="0"/>
    <n v="215.5"/>
    <n v="129"/>
    <n v="36.64"/>
    <n v="218.7"/>
    <n v="117"/>
    <n v="18.59"/>
    <n v="207.1"/>
    <n v="91"/>
    <n v="9.32"/>
    <x v="2"/>
    <x v="6"/>
    <x v="2"/>
    <x v="4"/>
    <x v="0"/>
  </r>
  <r>
    <s v="MD"/>
    <x v="93"/>
    <s v="area_code_415"/>
    <x v="0"/>
    <x v="1"/>
    <n v="0"/>
    <n v="171.7"/>
    <n v="80"/>
    <n v="29.19"/>
    <n v="110.4"/>
    <n v="81"/>
    <n v="9.3800000000000008"/>
    <n v="195.4"/>
    <n v="111"/>
    <n v="8.7899999999999991"/>
    <x v="78"/>
    <x v="4"/>
    <x v="78"/>
    <x v="2"/>
    <x v="0"/>
  </r>
  <r>
    <s v="FL"/>
    <x v="76"/>
    <s v="area_code_415"/>
    <x v="0"/>
    <x v="1"/>
    <n v="0"/>
    <n v="266.60000000000002"/>
    <n v="106"/>
    <n v="45.32"/>
    <n v="264.8"/>
    <n v="168"/>
    <n v="22.51"/>
    <n v="207.2"/>
    <n v="119"/>
    <n v="9.32"/>
    <x v="96"/>
    <x v="5"/>
    <x v="96"/>
    <x v="0"/>
    <x v="1"/>
  </r>
  <r>
    <s v="IA"/>
    <x v="124"/>
    <s v="area_code_415"/>
    <x v="0"/>
    <x v="1"/>
    <n v="0"/>
    <n v="158"/>
    <n v="106"/>
    <n v="26.86"/>
    <n v="292.5"/>
    <n v="114"/>
    <n v="24.86"/>
    <n v="241.1"/>
    <n v="89"/>
    <n v="10.85"/>
    <x v="9"/>
    <x v="4"/>
    <x v="9"/>
    <x v="0"/>
    <x v="0"/>
  </r>
  <r>
    <s v="AZ"/>
    <x v="27"/>
    <s v="area_code_510"/>
    <x v="0"/>
    <x v="1"/>
    <n v="0"/>
    <n v="92"/>
    <n v="117"/>
    <n v="15.64"/>
    <n v="253.6"/>
    <n v="77"/>
    <n v="21.56"/>
    <n v="214.1"/>
    <n v="90"/>
    <n v="9.6300000000000008"/>
    <x v="19"/>
    <x v="11"/>
    <x v="19"/>
    <x v="0"/>
    <x v="0"/>
  </r>
  <r>
    <s v="MO"/>
    <x v="125"/>
    <s v="area_code_415"/>
    <x v="0"/>
    <x v="1"/>
    <n v="0"/>
    <n v="234"/>
    <n v="109"/>
    <n v="39.78"/>
    <n v="249.5"/>
    <n v="114"/>
    <n v="21.21"/>
    <n v="173.1"/>
    <n v="70"/>
    <n v="7.79"/>
    <x v="9"/>
    <x v="1"/>
    <x v="9"/>
    <x v="2"/>
    <x v="0"/>
  </r>
  <r>
    <s v="VT"/>
    <x v="48"/>
    <s v="area_code_415"/>
    <x v="0"/>
    <x v="1"/>
    <n v="0"/>
    <n v="272.10000000000002"/>
    <n v="111"/>
    <n v="46.26"/>
    <n v="268.5"/>
    <n v="118"/>
    <n v="22.82"/>
    <n v="213.8"/>
    <n v="105"/>
    <n v="9.6199999999999992"/>
    <x v="31"/>
    <x v="11"/>
    <x v="31"/>
    <x v="0"/>
    <x v="1"/>
  </r>
  <r>
    <s v="IN"/>
    <x v="66"/>
    <s v="area_code_408"/>
    <x v="0"/>
    <x v="1"/>
    <n v="0"/>
    <n v="296.39999999999998"/>
    <n v="99"/>
    <n v="50.39"/>
    <n v="214.8"/>
    <n v="89"/>
    <n v="18.260000000000002"/>
    <n v="133.9"/>
    <n v="107"/>
    <n v="6.03"/>
    <x v="37"/>
    <x v="0"/>
    <x v="37"/>
    <x v="4"/>
    <x v="1"/>
  </r>
  <r>
    <s v="RI"/>
    <x v="126"/>
    <s v="area_code_510"/>
    <x v="0"/>
    <x v="1"/>
    <n v="0"/>
    <n v="194.4"/>
    <n v="101"/>
    <n v="33.049999999999997"/>
    <n v="190.3"/>
    <n v="82"/>
    <n v="16.18"/>
    <n v="183.4"/>
    <n v="107"/>
    <n v="8.25"/>
    <x v="37"/>
    <x v="5"/>
    <x v="37"/>
    <x v="1"/>
    <x v="0"/>
  </r>
  <r>
    <s v="SD"/>
    <x v="127"/>
    <s v="area_code_415"/>
    <x v="0"/>
    <x v="1"/>
    <n v="0"/>
    <n v="227.2"/>
    <n v="128"/>
    <n v="38.619999999999997"/>
    <n v="258.39999999999998"/>
    <n v="92"/>
    <n v="21.96"/>
    <n v="183.5"/>
    <n v="74"/>
    <n v="8.26"/>
    <x v="56"/>
    <x v="4"/>
    <x v="56"/>
    <x v="3"/>
    <x v="0"/>
  </r>
  <r>
    <s v="MN"/>
    <x v="86"/>
    <s v="area_code_415"/>
    <x v="0"/>
    <x v="1"/>
    <n v="0"/>
    <n v="248.7"/>
    <n v="109"/>
    <n v="42.28"/>
    <n v="220"/>
    <n v="118"/>
    <n v="18.7"/>
    <n v="265.7"/>
    <n v="78"/>
    <n v="11.96"/>
    <x v="32"/>
    <x v="5"/>
    <x v="32"/>
    <x v="0"/>
    <x v="1"/>
  </r>
  <r>
    <s v="TX"/>
    <x v="77"/>
    <s v="area_code_415"/>
    <x v="0"/>
    <x v="0"/>
    <n v="38"/>
    <n v="236.3"/>
    <n v="102"/>
    <n v="40.17"/>
    <n v="195.9"/>
    <n v="112"/>
    <n v="16.649999999999999"/>
    <n v="183.5"/>
    <n v="82"/>
    <n v="8.26"/>
    <x v="84"/>
    <x v="3"/>
    <x v="84"/>
    <x v="0"/>
    <x v="0"/>
  </r>
  <r>
    <s v="VA"/>
    <x v="128"/>
    <s v="area_code_510"/>
    <x v="0"/>
    <x v="1"/>
    <n v="0"/>
    <n v="205.6"/>
    <n v="69"/>
    <n v="34.950000000000003"/>
    <n v="169.5"/>
    <n v="93"/>
    <n v="14.41"/>
    <n v="220.1"/>
    <n v="64"/>
    <n v="9.9"/>
    <x v="54"/>
    <x v="0"/>
    <x v="54"/>
    <x v="1"/>
    <x v="0"/>
  </r>
  <r>
    <s v="MA"/>
    <x v="15"/>
    <s v="area_code_408"/>
    <x v="0"/>
    <x v="1"/>
    <n v="0"/>
    <n v="94.1"/>
    <n v="136"/>
    <n v="16"/>
    <n v="280.3"/>
    <n v="122"/>
    <n v="23.83"/>
    <n v="205"/>
    <n v="77"/>
    <n v="9.23"/>
    <x v="52"/>
    <x v="4"/>
    <x v="52"/>
    <x v="1"/>
    <x v="0"/>
  </r>
  <r>
    <s v="ID"/>
    <x v="59"/>
    <s v="area_code_408"/>
    <x v="0"/>
    <x v="1"/>
    <n v="0"/>
    <n v="125.2"/>
    <n v="99"/>
    <n v="21.28"/>
    <n v="205.4"/>
    <n v="107"/>
    <n v="17.46"/>
    <n v="254.4"/>
    <n v="111"/>
    <n v="11.45"/>
    <x v="97"/>
    <x v="5"/>
    <x v="97"/>
    <x v="1"/>
    <x v="0"/>
  </r>
  <r>
    <s v="MA"/>
    <x v="129"/>
    <s v="area_code_408"/>
    <x v="0"/>
    <x v="1"/>
    <n v="0"/>
    <n v="60.4"/>
    <n v="158"/>
    <n v="10.27"/>
    <n v="306.2"/>
    <n v="120"/>
    <n v="26.03"/>
    <n v="123.9"/>
    <n v="46"/>
    <n v="5.58"/>
    <x v="70"/>
    <x v="0"/>
    <x v="70"/>
    <x v="0"/>
    <x v="0"/>
  </r>
  <r>
    <s v="GA"/>
    <x v="78"/>
    <s v="area_code_415"/>
    <x v="0"/>
    <x v="0"/>
    <n v="28"/>
    <n v="121"/>
    <n v="105"/>
    <n v="20.57"/>
    <n v="270.39999999999998"/>
    <n v="100"/>
    <n v="22.98"/>
    <n v="160.5"/>
    <n v="76"/>
    <n v="7.22"/>
    <x v="18"/>
    <x v="4"/>
    <x v="18"/>
    <x v="2"/>
    <x v="0"/>
  </r>
  <r>
    <s v="RI"/>
    <x v="115"/>
    <s v="area_code_415"/>
    <x v="0"/>
    <x v="0"/>
    <n v="29"/>
    <n v="117.8"/>
    <n v="66"/>
    <n v="20.03"/>
    <n v="256.8"/>
    <n v="114"/>
    <n v="21.83"/>
    <n v="147.6"/>
    <n v="76"/>
    <n v="6.64"/>
    <x v="98"/>
    <x v="0"/>
    <x v="98"/>
    <x v="3"/>
    <x v="0"/>
  </r>
  <r>
    <s v="MA"/>
    <x v="112"/>
    <s v="area_code_510"/>
    <x v="0"/>
    <x v="1"/>
    <n v="0"/>
    <n v="176.3"/>
    <n v="79"/>
    <n v="29.97"/>
    <n v="259.2"/>
    <n v="97"/>
    <n v="22.03"/>
    <n v="287.39999999999998"/>
    <n v="78"/>
    <n v="12.93"/>
    <x v="46"/>
    <x v="0"/>
    <x v="46"/>
    <x v="1"/>
    <x v="0"/>
  </r>
  <r>
    <s v="WY"/>
    <x v="113"/>
    <s v="area_code_415"/>
    <x v="0"/>
    <x v="0"/>
    <n v="32"/>
    <n v="125.2"/>
    <n v="79"/>
    <n v="21.28"/>
    <n v="177.8"/>
    <n v="105"/>
    <n v="15.11"/>
    <n v="232.4"/>
    <n v="89"/>
    <n v="10.46"/>
    <x v="89"/>
    <x v="0"/>
    <x v="89"/>
    <x v="0"/>
    <x v="0"/>
  </r>
  <r>
    <s v="VA"/>
    <x v="130"/>
    <s v="area_code_408"/>
    <x v="0"/>
    <x v="1"/>
    <n v="0"/>
    <n v="138.69999999999999"/>
    <n v="107"/>
    <n v="23.58"/>
    <n v="256.89999999999998"/>
    <n v="113"/>
    <n v="21.84"/>
    <n v="234.9"/>
    <n v="74"/>
    <n v="10.57"/>
    <x v="13"/>
    <x v="0"/>
    <x v="13"/>
    <x v="1"/>
    <x v="0"/>
  </r>
  <r>
    <s v="OR"/>
    <x v="88"/>
    <s v="area_code_415"/>
    <x v="0"/>
    <x v="1"/>
    <n v="0"/>
    <n v="86.3"/>
    <n v="134"/>
    <n v="14.67"/>
    <n v="246.6"/>
    <n v="92"/>
    <n v="20.96"/>
    <n v="251.6"/>
    <n v="91"/>
    <n v="11.32"/>
    <x v="61"/>
    <x v="4"/>
    <x v="61"/>
    <x v="0"/>
    <x v="0"/>
  </r>
  <r>
    <s v="VA"/>
    <x v="131"/>
    <s v="area_code_408"/>
    <x v="0"/>
    <x v="1"/>
    <n v="0"/>
    <n v="207"/>
    <n v="91"/>
    <n v="35.19"/>
    <n v="154.9"/>
    <n v="121"/>
    <n v="13.17"/>
    <n v="245.1"/>
    <n v="112"/>
    <n v="11.03"/>
    <x v="83"/>
    <x v="1"/>
    <x v="83"/>
    <x v="3"/>
    <x v="0"/>
  </r>
  <r>
    <s v="ME"/>
    <x v="108"/>
    <s v="area_code_510"/>
    <x v="0"/>
    <x v="0"/>
    <n v="30"/>
    <n v="58.8"/>
    <n v="104"/>
    <n v="10"/>
    <n v="219.5"/>
    <n v="107"/>
    <n v="18.66"/>
    <n v="152.30000000000001"/>
    <n v="118"/>
    <n v="6.85"/>
    <x v="5"/>
    <x v="0"/>
    <x v="5"/>
    <x v="1"/>
    <x v="0"/>
  </r>
  <r>
    <s v="AL"/>
    <x v="4"/>
    <s v="area_code_408"/>
    <x v="0"/>
    <x v="0"/>
    <n v="35"/>
    <n v="68.7"/>
    <n v="95"/>
    <n v="11.68"/>
    <n v="209.2"/>
    <n v="69"/>
    <n v="17.78"/>
    <n v="197.4"/>
    <n v="42"/>
    <n v="8.8800000000000008"/>
    <x v="37"/>
    <x v="4"/>
    <x v="37"/>
    <x v="0"/>
    <x v="0"/>
  </r>
  <r>
    <s v="GA"/>
    <x v="118"/>
    <s v="area_code_408"/>
    <x v="0"/>
    <x v="0"/>
    <n v="33"/>
    <n v="239.2"/>
    <n v="109"/>
    <n v="40.659999999999997"/>
    <n v="235.5"/>
    <n v="112"/>
    <n v="20.02"/>
    <n v="156.30000000000001"/>
    <n v="95"/>
    <n v="7.03"/>
    <x v="17"/>
    <x v="4"/>
    <x v="17"/>
    <x v="0"/>
    <x v="0"/>
  </r>
  <r>
    <s v="IA"/>
    <x v="14"/>
    <s v="area_code_510"/>
    <x v="0"/>
    <x v="1"/>
    <n v="0"/>
    <n v="198.3"/>
    <n v="130"/>
    <n v="33.71"/>
    <n v="217.1"/>
    <n v="86"/>
    <n v="18.45"/>
    <n v="188.4"/>
    <n v="96"/>
    <n v="8.48"/>
    <x v="60"/>
    <x v="0"/>
    <x v="60"/>
    <x v="1"/>
    <x v="0"/>
  </r>
  <r>
    <s v="AZ"/>
    <x v="124"/>
    <s v="area_code_510"/>
    <x v="0"/>
    <x v="1"/>
    <n v="0"/>
    <n v="205.2"/>
    <n v="97"/>
    <n v="34.880000000000003"/>
    <n v="240.6"/>
    <n v="77"/>
    <n v="20.45"/>
    <n v="79.7"/>
    <n v="108"/>
    <n v="3.59"/>
    <x v="90"/>
    <x v="14"/>
    <x v="90"/>
    <x v="1"/>
    <x v="0"/>
  </r>
  <r>
    <s v="FL"/>
    <x v="43"/>
    <s v="area_code_510"/>
    <x v="0"/>
    <x v="1"/>
    <n v="0"/>
    <n v="192.1"/>
    <n v="98"/>
    <n v="32.659999999999997"/>
    <n v="312.89999999999998"/>
    <n v="135"/>
    <n v="26.6"/>
    <n v="130.19999999999999"/>
    <n v="94"/>
    <n v="5.86"/>
    <x v="57"/>
    <x v="5"/>
    <x v="57"/>
    <x v="3"/>
    <x v="0"/>
  </r>
  <r>
    <s v="MT"/>
    <x v="21"/>
    <s v="area_code_415"/>
    <x v="0"/>
    <x v="1"/>
    <n v="0"/>
    <n v="272.60000000000002"/>
    <n v="83"/>
    <n v="46.34"/>
    <n v="248.7"/>
    <n v="74"/>
    <n v="21.14"/>
    <n v="197.4"/>
    <n v="111"/>
    <n v="8.8800000000000008"/>
    <x v="17"/>
    <x v="5"/>
    <x v="17"/>
    <x v="0"/>
    <x v="1"/>
  </r>
  <r>
    <s v="AL"/>
    <x v="112"/>
    <s v="area_code_415"/>
    <x v="0"/>
    <x v="1"/>
    <n v="0"/>
    <n v="128.30000000000001"/>
    <n v="121"/>
    <n v="21.81"/>
    <n v="197.1"/>
    <n v="93"/>
    <n v="16.75"/>
    <n v="138.4"/>
    <n v="152"/>
    <n v="6.23"/>
    <x v="1"/>
    <x v="1"/>
    <x v="1"/>
    <x v="6"/>
    <x v="1"/>
  </r>
  <r>
    <s v="DE"/>
    <x v="65"/>
    <s v="area_code_510"/>
    <x v="0"/>
    <x v="1"/>
    <n v="0"/>
    <n v="169.6"/>
    <n v="99"/>
    <n v="28.83"/>
    <n v="264.10000000000002"/>
    <n v="87"/>
    <n v="22.45"/>
    <n v="206.3"/>
    <n v="78"/>
    <n v="9.2799999999999994"/>
    <x v="38"/>
    <x v="4"/>
    <x v="38"/>
    <x v="1"/>
    <x v="0"/>
  </r>
  <r>
    <s v="KY"/>
    <x v="81"/>
    <s v="area_code_408"/>
    <x v="0"/>
    <x v="0"/>
    <n v="17"/>
    <n v="214.7"/>
    <n v="97"/>
    <n v="36.5"/>
    <n v="138.5"/>
    <n v="90"/>
    <n v="11.77"/>
    <n v="169.1"/>
    <n v="44"/>
    <n v="7.61"/>
    <x v="53"/>
    <x v="4"/>
    <x v="53"/>
    <x v="0"/>
    <x v="0"/>
  </r>
  <r>
    <s v="SC"/>
    <x v="63"/>
    <s v="area_code_510"/>
    <x v="0"/>
    <x v="1"/>
    <n v="0"/>
    <n v="169.2"/>
    <n v="70"/>
    <n v="28.76"/>
    <n v="271.5"/>
    <n v="77"/>
    <n v="23.08"/>
    <n v="170.2"/>
    <n v="104"/>
    <n v="7.66"/>
    <x v="15"/>
    <x v="5"/>
    <x v="15"/>
    <x v="1"/>
    <x v="0"/>
  </r>
  <r>
    <s v="WA"/>
    <x v="132"/>
    <s v="area_code_415"/>
    <x v="0"/>
    <x v="1"/>
    <n v="0"/>
    <n v="194.1"/>
    <n v="121"/>
    <n v="33"/>
    <n v="176.6"/>
    <n v="110"/>
    <n v="15.01"/>
    <n v="302.8"/>
    <n v="136"/>
    <n v="13.63"/>
    <x v="99"/>
    <x v="2"/>
    <x v="99"/>
    <x v="2"/>
    <x v="0"/>
  </r>
  <r>
    <s v="AK"/>
    <x v="26"/>
    <s v="area_code_408"/>
    <x v="0"/>
    <x v="1"/>
    <n v="0"/>
    <n v="225.1"/>
    <n v="67"/>
    <n v="38.270000000000003"/>
    <n v="199.2"/>
    <n v="127"/>
    <n v="16.93"/>
    <n v="175.5"/>
    <n v="102"/>
    <n v="7.9"/>
    <x v="28"/>
    <x v="5"/>
    <x v="28"/>
    <x v="1"/>
    <x v="0"/>
  </r>
  <r>
    <s v="GA"/>
    <x v="121"/>
    <s v="area_code_415"/>
    <x v="0"/>
    <x v="1"/>
    <n v="0"/>
    <n v="213"/>
    <n v="63"/>
    <n v="36.21"/>
    <n v="176.6"/>
    <n v="71"/>
    <n v="15.01"/>
    <n v="262.60000000000002"/>
    <n v="126"/>
    <n v="11.82"/>
    <x v="9"/>
    <x v="8"/>
    <x v="9"/>
    <x v="0"/>
    <x v="1"/>
  </r>
  <r>
    <s v="IL"/>
    <x v="133"/>
    <s v="area_code_415"/>
    <x v="0"/>
    <x v="0"/>
    <n v="34"/>
    <n v="221.8"/>
    <n v="105"/>
    <n v="37.71"/>
    <n v="161.69999999999999"/>
    <n v="85"/>
    <n v="13.74"/>
    <n v="227.7"/>
    <n v="62"/>
    <n v="10.25"/>
    <x v="100"/>
    <x v="2"/>
    <x v="100"/>
    <x v="1"/>
    <x v="0"/>
  </r>
  <r>
    <s v="IN"/>
    <x v="28"/>
    <s v="area_code_408"/>
    <x v="0"/>
    <x v="0"/>
    <n v="21"/>
    <n v="64.599999999999994"/>
    <n v="98"/>
    <n v="10.98"/>
    <n v="176.1"/>
    <n v="86"/>
    <n v="14.97"/>
    <n v="244.8"/>
    <n v="84"/>
    <n v="11.02"/>
    <x v="77"/>
    <x v="13"/>
    <x v="77"/>
    <x v="2"/>
    <x v="0"/>
  </r>
  <r>
    <s v="SC"/>
    <x v="32"/>
    <s v="area_code_510"/>
    <x v="0"/>
    <x v="0"/>
    <n v="37"/>
    <n v="154.6"/>
    <n v="92"/>
    <n v="26.28"/>
    <n v="83.4"/>
    <n v="103"/>
    <n v="7.09"/>
    <n v="165.9"/>
    <n v="99"/>
    <n v="7.47"/>
    <x v="64"/>
    <x v="0"/>
    <x v="64"/>
    <x v="0"/>
    <x v="0"/>
  </r>
  <r>
    <s v="VA"/>
    <x v="7"/>
    <s v="area_code_415"/>
    <x v="0"/>
    <x v="1"/>
    <n v="0"/>
    <n v="260.2"/>
    <n v="131"/>
    <n v="44.23"/>
    <n v="179.2"/>
    <n v="120"/>
    <n v="15.23"/>
    <n v="135"/>
    <n v="119"/>
    <n v="6.08"/>
    <x v="68"/>
    <x v="10"/>
    <x v="68"/>
    <x v="3"/>
    <x v="0"/>
  </r>
  <r>
    <s v="WI"/>
    <x v="40"/>
    <s v="area_code_415"/>
    <x v="0"/>
    <x v="0"/>
    <n v="33"/>
    <n v="161.6"/>
    <n v="117"/>
    <n v="27.47"/>
    <n v="123"/>
    <n v="90"/>
    <n v="10.46"/>
    <n v="261.3"/>
    <n v="101"/>
    <n v="11.76"/>
    <x v="1"/>
    <x v="1"/>
    <x v="1"/>
    <x v="0"/>
    <x v="0"/>
  </r>
  <r>
    <s v="VT"/>
    <x v="52"/>
    <s v="area_code_510"/>
    <x v="0"/>
    <x v="1"/>
    <n v="0"/>
    <n v="220.6"/>
    <n v="117"/>
    <n v="37.5"/>
    <n v="155.19999999999999"/>
    <n v="121"/>
    <n v="13.19"/>
    <n v="186.7"/>
    <n v="89"/>
    <n v="8.4"/>
    <x v="26"/>
    <x v="12"/>
    <x v="26"/>
    <x v="0"/>
    <x v="0"/>
  </r>
  <r>
    <s v="AZ"/>
    <x v="82"/>
    <s v="area_code_415"/>
    <x v="0"/>
    <x v="0"/>
    <n v="41"/>
    <n v="155.9"/>
    <n v="122"/>
    <n v="26.5"/>
    <n v="162.30000000000001"/>
    <n v="107"/>
    <n v="13.8"/>
    <n v="127.6"/>
    <n v="105"/>
    <n v="5.74"/>
    <x v="67"/>
    <x v="1"/>
    <x v="67"/>
    <x v="3"/>
    <x v="0"/>
  </r>
  <r>
    <s v="AK"/>
    <x v="33"/>
    <s v="area_code_510"/>
    <x v="0"/>
    <x v="1"/>
    <n v="0"/>
    <n v="182.5"/>
    <n v="104"/>
    <n v="31.03"/>
    <n v="204.7"/>
    <n v="95"/>
    <n v="17.399999999999999"/>
    <n v="229.9"/>
    <n v="100"/>
    <n v="10.35"/>
    <x v="61"/>
    <x v="10"/>
    <x v="61"/>
    <x v="4"/>
    <x v="0"/>
  </r>
  <r>
    <s v="AR"/>
    <x v="92"/>
    <s v="area_code_415"/>
    <x v="1"/>
    <x v="0"/>
    <n v="38"/>
    <n v="220.1"/>
    <n v="78"/>
    <n v="37.42"/>
    <n v="234.3"/>
    <n v="71"/>
    <n v="19.920000000000002"/>
    <n v="237.3"/>
    <n v="85"/>
    <n v="10.68"/>
    <x v="3"/>
    <x v="4"/>
    <x v="3"/>
    <x v="4"/>
    <x v="0"/>
  </r>
  <r>
    <s v="AR"/>
    <x v="134"/>
    <s v="area_code_408"/>
    <x v="0"/>
    <x v="1"/>
    <n v="0"/>
    <n v="152.19999999999999"/>
    <n v="112"/>
    <n v="25.87"/>
    <n v="177.2"/>
    <n v="132"/>
    <n v="15.06"/>
    <n v="96.4"/>
    <n v="87"/>
    <n v="4.34"/>
    <x v="58"/>
    <x v="0"/>
    <x v="58"/>
    <x v="0"/>
    <x v="0"/>
  </r>
  <r>
    <s v="AK"/>
    <x v="6"/>
    <s v="area_code_415"/>
    <x v="0"/>
    <x v="1"/>
    <n v="0"/>
    <n v="181.5"/>
    <n v="95"/>
    <n v="30.86"/>
    <n v="205.1"/>
    <n v="88"/>
    <n v="17.43"/>
    <n v="204"/>
    <n v="82"/>
    <n v="9.18"/>
    <x v="20"/>
    <x v="6"/>
    <x v="20"/>
    <x v="2"/>
    <x v="0"/>
  </r>
  <r>
    <s v="MS"/>
    <x v="32"/>
    <s v="area_code_408"/>
    <x v="1"/>
    <x v="1"/>
    <n v="0"/>
    <n v="236.2"/>
    <n v="77"/>
    <n v="40.15"/>
    <n v="218.6"/>
    <n v="85"/>
    <n v="18.579999999999998"/>
    <n v="194.1"/>
    <n v="97"/>
    <n v="8.73"/>
    <x v="32"/>
    <x v="5"/>
    <x v="32"/>
    <x v="2"/>
    <x v="1"/>
  </r>
  <r>
    <s v="NM"/>
    <x v="66"/>
    <s v="area_code_408"/>
    <x v="0"/>
    <x v="0"/>
    <n v="23"/>
    <n v="134.19999999999999"/>
    <n v="85"/>
    <n v="22.81"/>
    <n v="227.3"/>
    <n v="132"/>
    <n v="19.32"/>
    <n v="122.4"/>
    <n v="96"/>
    <n v="5.51"/>
    <x v="31"/>
    <x v="5"/>
    <x v="31"/>
    <x v="2"/>
    <x v="0"/>
  </r>
  <r>
    <s v="SC"/>
    <x v="53"/>
    <s v="area_code_408"/>
    <x v="0"/>
    <x v="0"/>
    <n v="29"/>
    <n v="150.1"/>
    <n v="109"/>
    <n v="25.52"/>
    <n v="264.7"/>
    <n v="103"/>
    <n v="22.5"/>
    <n v="178.4"/>
    <n v="97"/>
    <n v="8.0299999999999994"/>
    <x v="41"/>
    <x v="4"/>
    <x v="41"/>
    <x v="0"/>
    <x v="0"/>
  </r>
  <r>
    <s v="CO"/>
    <x v="135"/>
    <s v="area_code_408"/>
    <x v="1"/>
    <x v="1"/>
    <n v="0"/>
    <n v="257.10000000000002"/>
    <n v="53"/>
    <n v="43.71"/>
    <n v="312.2"/>
    <n v="127"/>
    <n v="26.54"/>
    <n v="183"/>
    <n v="82"/>
    <n v="8.24"/>
    <x v="82"/>
    <x v="3"/>
    <x v="82"/>
    <x v="0"/>
    <x v="1"/>
  </r>
  <r>
    <s v="DE"/>
    <x v="88"/>
    <s v="area_code_415"/>
    <x v="0"/>
    <x v="1"/>
    <n v="0"/>
    <n v="124.4"/>
    <n v="83"/>
    <n v="21.15"/>
    <n v="179.7"/>
    <n v="81"/>
    <n v="15.27"/>
    <n v="253"/>
    <n v="99"/>
    <n v="11.39"/>
    <x v="61"/>
    <x v="3"/>
    <x v="61"/>
    <x v="1"/>
    <x v="0"/>
  </r>
  <r>
    <s v="OH"/>
    <x v="129"/>
    <s v="area_code_415"/>
    <x v="0"/>
    <x v="0"/>
    <n v="36"/>
    <n v="141.69999999999999"/>
    <n v="121"/>
    <n v="24.09"/>
    <n v="232.3"/>
    <n v="113"/>
    <n v="19.75"/>
    <n v="222.1"/>
    <n v="131"/>
    <n v="9.99"/>
    <x v="42"/>
    <x v="1"/>
    <x v="42"/>
    <x v="0"/>
    <x v="0"/>
  </r>
  <r>
    <s v="MS"/>
    <x v="16"/>
    <s v="area_code_408"/>
    <x v="0"/>
    <x v="1"/>
    <n v="0"/>
    <n v="230"/>
    <n v="87"/>
    <n v="39.1"/>
    <n v="103.2"/>
    <n v="138"/>
    <n v="8.77"/>
    <n v="309.60000000000002"/>
    <n v="136"/>
    <n v="13.93"/>
    <x v="61"/>
    <x v="0"/>
    <x v="61"/>
    <x v="2"/>
    <x v="0"/>
  </r>
  <r>
    <s v="OK"/>
    <x v="136"/>
    <s v="area_code_408"/>
    <x v="0"/>
    <x v="1"/>
    <n v="0"/>
    <n v="162.30000000000001"/>
    <n v="88"/>
    <n v="27.59"/>
    <n v="213.7"/>
    <n v="118"/>
    <n v="18.16"/>
    <n v="192.1"/>
    <n v="81"/>
    <n v="8.64"/>
    <x v="54"/>
    <x v="5"/>
    <x v="54"/>
    <x v="1"/>
    <x v="0"/>
  </r>
  <r>
    <s v="NC"/>
    <x v="126"/>
    <s v="area_code_415"/>
    <x v="0"/>
    <x v="1"/>
    <n v="0"/>
    <n v="193.3"/>
    <n v="96"/>
    <n v="32.86"/>
    <n v="264.10000000000002"/>
    <n v="123"/>
    <n v="22.45"/>
    <n v="128.6"/>
    <n v="115"/>
    <n v="5.79"/>
    <x v="9"/>
    <x v="0"/>
    <x v="9"/>
    <x v="4"/>
    <x v="0"/>
  </r>
  <r>
    <s v="MD"/>
    <x v="107"/>
    <s v="area_code_415"/>
    <x v="0"/>
    <x v="1"/>
    <n v="0"/>
    <n v="78.2"/>
    <n v="127"/>
    <n v="13.29"/>
    <n v="253.4"/>
    <n v="108"/>
    <n v="21.54"/>
    <n v="255"/>
    <n v="100"/>
    <n v="11.48"/>
    <x v="101"/>
    <x v="0"/>
    <x v="101"/>
    <x v="0"/>
    <x v="0"/>
  </r>
  <r>
    <s v="KS"/>
    <x v="19"/>
    <s v="area_code_415"/>
    <x v="0"/>
    <x v="1"/>
    <n v="0"/>
    <n v="83.4"/>
    <n v="110"/>
    <n v="14.18"/>
    <n v="232.2"/>
    <n v="137"/>
    <n v="19.739999999999998"/>
    <n v="146.69999999999999"/>
    <n v="114"/>
    <n v="6.6"/>
    <x v="98"/>
    <x v="1"/>
    <x v="98"/>
    <x v="0"/>
    <x v="0"/>
  </r>
  <r>
    <s v="NC"/>
    <x v="29"/>
    <s v="area_code_415"/>
    <x v="0"/>
    <x v="1"/>
    <n v="0"/>
    <n v="201.8"/>
    <n v="81"/>
    <n v="34.31"/>
    <n v="225"/>
    <n v="114"/>
    <n v="19.13"/>
    <n v="204.4"/>
    <n v="82"/>
    <n v="9.1999999999999993"/>
    <x v="19"/>
    <x v="3"/>
    <x v="19"/>
    <x v="0"/>
    <x v="0"/>
  </r>
  <r>
    <s v="NM"/>
    <x v="80"/>
    <s v="area_code_408"/>
    <x v="0"/>
    <x v="1"/>
    <n v="0"/>
    <n v="197"/>
    <n v="110"/>
    <n v="33.49"/>
    <n v="222.8"/>
    <n v="102"/>
    <n v="18.940000000000001"/>
    <n v="225.3"/>
    <n v="91"/>
    <n v="10.14"/>
    <x v="15"/>
    <x v="3"/>
    <x v="15"/>
    <x v="2"/>
    <x v="0"/>
  </r>
  <r>
    <s v="CA"/>
    <x v="81"/>
    <s v="area_code_415"/>
    <x v="1"/>
    <x v="1"/>
    <n v="0"/>
    <n v="218"/>
    <n v="57"/>
    <n v="37.06"/>
    <n v="114.4"/>
    <n v="88"/>
    <n v="9.7200000000000006"/>
    <n v="269.2"/>
    <n v="95"/>
    <n v="12.11"/>
    <x v="70"/>
    <x v="8"/>
    <x v="70"/>
    <x v="1"/>
    <x v="1"/>
  </r>
  <r>
    <s v="NY"/>
    <x v="89"/>
    <s v="area_code_415"/>
    <x v="0"/>
    <x v="1"/>
    <n v="0"/>
    <n v="164.8"/>
    <n v="98"/>
    <n v="28.02"/>
    <n v="229.9"/>
    <n v="96"/>
    <n v="19.54"/>
    <n v="167.3"/>
    <n v="108"/>
    <n v="7.53"/>
    <x v="102"/>
    <x v="5"/>
    <x v="102"/>
    <x v="2"/>
    <x v="0"/>
  </r>
  <r>
    <s v="SD"/>
    <x v="137"/>
    <s v="area_code_415"/>
    <x v="0"/>
    <x v="0"/>
    <n v="21"/>
    <n v="214"/>
    <n v="113"/>
    <n v="36.380000000000003"/>
    <n v="180"/>
    <n v="114"/>
    <n v="15.3"/>
    <n v="134.5"/>
    <n v="82"/>
    <n v="6.05"/>
    <x v="15"/>
    <x v="1"/>
    <x v="15"/>
    <x v="1"/>
    <x v="0"/>
  </r>
  <r>
    <s v="DC"/>
    <x v="51"/>
    <s v="area_code_415"/>
    <x v="0"/>
    <x v="1"/>
    <n v="0"/>
    <n v="170.5"/>
    <n v="87"/>
    <n v="28.99"/>
    <n v="118.2"/>
    <n v="116"/>
    <n v="10.050000000000001"/>
    <n v="187.9"/>
    <n v="111"/>
    <n v="8.4600000000000009"/>
    <x v="7"/>
    <x v="2"/>
    <x v="7"/>
    <x v="2"/>
    <x v="0"/>
  </r>
  <r>
    <s v="ND"/>
    <x v="134"/>
    <s v="area_code_408"/>
    <x v="0"/>
    <x v="1"/>
    <n v="0"/>
    <n v="205.7"/>
    <n v="123"/>
    <n v="34.97"/>
    <n v="214.5"/>
    <n v="108"/>
    <n v="18.23"/>
    <n v="226.1"/>
    <n v="106"/>
    <n v="10.17"/>
    <x v="92"/>
    <x v="16"/>
    <x v="92"/>
    <x v="0"/>
    <x v="0"/>
  </r>
  <r>
    <s v="MO"/>
    <x v="11"/>
    <s v="area_code_415"/>
    <x v="1"/>
    <x v="1"/>
    <n v="0"/>
    <n v="165.5"/>
    <n v="84"/>
    <n v="28.14"/>
    <n v="286.2"/>
    <n v="112"/>
    <n v="24.33"/>
    <n v="198.9"/>
    <n v="89"/>
    <n v="8.9499999999999993"/>
    <x v="73"/>
    <x v="5"/>
    <x v="73"/>
    <x v="0"/>
    <x v="1"/>
  </r>
  <r>
    <s v="KS"/>
    <x v="76"/>
    <s v="area_code_415"/>
    <x v="0"/>
    <x v="1"/>
    <n v="0"/>
    <n v="221"/>
    <n v="100"/>
    <n v="37.57"/>
    <n v="160.69999999999999"/>
    <n v="113"/>
    <n v="13.66"/>
    <n v="233.1"/>
    <n v="96"/>
    <n v="10.49"/>
    <x v="36"/>
    <x v="4"/>
    <x v="36"/>
    <x v="2"/>
    <x v="0"/>
  </r>
  <r>
    <s v="SD"/>
    <x v="1"/>
    <s v="area_code_510"/>
    <x v="0"/>
    <x v="1"/>
    <n v="0"/>
    <n v="242.1"/>
    <n v="118"/>
    <n v="41.16"/>
    <n v="191"/>
    <n v="93"/>
    <n v="16.239999999999998"/>
    <n v="218.6"/>
    <n v="50"/>
    <n v="9.84"/>
    <x v="20"/>
    <x v="5"/>
    <x v="20"/>
    <x v="3"/>
    <x v="0"/>
  </r>
  <r>
    <s v="OK"/>
    <x v="35"/>
    <s v="area_code_415"/>
    <x v="0"/>
    <x v="1"/>
    <n v="0"/>
    <n v="151.6"/>
    <n v="107"/>
    <n v="25.77"/>
    <n v="155.4"/>
    <n v="96"/>
    <n v="13.21"/>
    <n v="240"/>
    <n v="112"/>
    <n v="10.8"/>
    <x v="20"/>
    <x v="4"/>
    <x v="20"/>
    <x v="0"/>
    <x v="0"/>
  </r>
  <r>
    <s v="OR"/>
    <x v="44"/>
    <s v="area_code_415"/>
    <x v="1"/>
    <x v="1"/>
    <n v="0"/>
    <n v="176.2"/>
    <n v="87"/>
    <n v="29.95"/>
    <n v="145"/>
    <n v="81"/>
    <n v="12.33"/>
    <n v="249.5"/>
    <n v="92"/>
    <n v="11.23"/>
    <x v="16"/>
    <x v="4"/>
    <x v="16"/>
    <x v="1"/>
    <x v="0"/>
  </r>
  <r>
    <s v="IN"/>
    <x v="6"/>
    <s v="area_code_415"/>
    <x v="1"/>
    <x v="0"/>
    <n v="22"/>
    <n v="196"/>
    <n v="82"/>
    <n v="33.32"/>
    <n v="322.7"/>
    <n v="82"/>
    <n v="27.43"/>
    <n v="225.6"/>
    <n v="120"/>
    <n v="10.15"/>
    <x v="103"/>
    <x v="1"/>
    <x v="103"/>
    <x v="0"/>
    <x v="0"/>
  </r>
  <r>
    <s v="OH"/>
    <x v="2"/>
    <s v="area_code_408"/>
    <x v="0"/>
    <x v="1"/>
    <n v="0"/>
    <n v="159.5"/>
    <n v="125"/>
    <n v="27.12"/>
    <n v="247.1"/>
    <n v="90"/>
    <n v="21"/>
    <n v="187.9"/>
    <n v="82"/>
    <n v="8.4600000000000009"/>
    <x v="68"/>
    <x v="4"/>
    <x v="68"/>
    <x v="2"/>
    <x v="0"/>
  </r>
  <r>
    <s v="KS"/>
    <x v="1"/>
    <s v="area_code_415"/>
    <x v="0"/>
    <x v="1"/>
    <n v="0"/>
    <n v="230.2"/>
    <n v="113"/>
    <n v="39.130000000000003"/>
    <n v="220.4"/>
    <n v="79"/>
    <n v="18.73"/>
    <n v="204.7"/>
    <n v="111"/>
    <n v="9.2100000000000009"/>
    <x v="85"/>
    <x v="2"/>
    <x v="85"/>
    <x v="4"/>
    <x v="0"/>
  </r>
  <r>
    <s v="NH"/>
    <x v="21"/>
    <s v="area_code_510"/>
    <x v="0"/>
    <x v="1"/>
    <n v="0"/>
    <n v="210.5"/>
    <n v="102"/>
    <n v="35.79"/>
    <n v="204.5"/>
    <n v="83"/>
    <n v="17.38"/>
    <n v="127.8"/>
    <n v="53"/>
    <n v="5.75"/>
    <x v="31"/>
    <x v="1"/>
    <x v="31"/>
    <x v="0"/>
    <x v="0"/>
  </r>
  <r>
    <s v="WI"/>
    <x v="13"/>
    <s v="area_code_415"/>
    <x v="0"/>
    <x v="1"/>
    <n v="0"/>
    <n v="102"/>
    <n v="95"/>
    <n v="17.34"/>
    <n v="270.2"/>
    <n v="139"/>
    <n v="22.97"/>
    <n v="148.19999999999999"/>
    <n v="105"/>
    <n v="6.67"/>
    <x v="85"/>
    <x v="0"/>
    <x v="85"/>
    <x v="0"/>
    <x v="0"/>
  </r>
  <r>
    <s v="WV"/>
    <x v="47"/>
    <s v="area_code_415"/>
    <x v="0"/>
    <x v="1"/>
    <n v="0"/>
    <n v="168.4"/>
    <n v="125"/>
    <n v="28.63"/>
    <n v="243.8"/>
    <n v="89"/>
    <n v="20.72"/>
    <n v="214.7"/>
    <n v="102"/>
    <n v="9.66"/>
    <x v="22"/>
    <x v="5"/>
    <x v="22"/>
    <x v="0"/>
    <x v="0"/>
  </r>
  <r>
    <s v="MA"/>
    <x v="104"/>
    <s v="area_code_415"/>
    <x v="0"/>
    <x v="1"/>
    <n v="0"/>
    <n v="105.6"/>
    <n v="129"/>
    <n v="17.95"/>
    <n v="258.2"/>
    <n v="129"/>
    <n v="21.95"/>
    <n v="213.1"/>
    <n v="77"/>
    <n v="9.59"/>
    <x v="6"/>
    <x v="0"/>
    <x v="6"/>
    <x v="1"/>
    <x v="0"/>
  </r>
  <r>
    <s v="MD"/>
    <x v="28"/>
    <s v="area_code_415"/>
    <x v="0"/>
    <x v="1"/>
    <n v="0"/>
    <n v="206.5"/>
    <n v="92"/>
    <n v="35.11"/>
    <n v="176.2"/>
    <n v="152"/>
    <n v="14.98"/>
    <n v="232.8"/>
    <n v="115"/>
    <n v="10.48"/>
    <x v="70"/>
    <x v="1"/>
    <x v="70"/>
    <x v="5"/>
    <x v="0"/>
  </r>
  <r>
    <s v="PA"/>
    <x v="126"/>
    <s v="area_code_510"/>
    <x v="0"/>
    <x v="1"/>
    <n v="0"/>
    <n v="217.1"/>
    <n v="76"/>
    <n v="36.909999999999997"/>
    <n v="205.2"/>
    <n v="100"/>
    <n v="17.440000000000001"/>
    <n v="185.7"/>
    <n v="91"/>
    <n v="8.36"/>
    <x v="27"/>
    <x v="0"/>
    <x v="27"/>
    <x v="2"/>
    <x v="0"/>
  </r>
  <r>
    <s v="WI"/>
    <x v="128"/>
    <s v="area_code_510"/>
    <x v="0"/>
    <x v="1"/>
    <n v="0"/>
    <n v="229.6"/>
    <n v="78"/>
    <n v="39.03"/>
    <n v="205.7"/>
    <n v="108"/>
    <n v="17.48"/>
    <n v="166.2"/>
    <n v="91"/>
    <n v="7.48"/>
    <x v="81"/>
    <x v="5"/>
    <x v="81"/>
    <x v="1"/>
    <x v="1"/>
  </r>
  <r>
    <s v="TN"/>
    <x v="28"/>
    <s v="area_code_415"/>
    <x v="0"/>
    <x v="0"/>
    <n v="22"/>
    <n v="278.3"/>
    <n v="89"/>
    <n v="47.31"/>
    <n v="93.4"/>
    <n v="143"/>
    <n v="7.94"/>
    <n v="107.6"/>
    <n v="42"/>
    <n v="4.84"/>
    <x v="84"/>
    <x v="1"/>
    <x v="84"/>
    <x v="1"/>
    <x v="0"/>
  </r>
  <r>
    <s v="IL"/>
    <x v="2"/>
    <s v="area_code_510"/>
    <x v="0"/>
    <x v="1"/>
    <n v="0"/>
    <n v="181.5"/>
    <n v="129"/>
    <n v="30.86"/>
    <n v="130.69999999999999"/>
    <n v="112"/>
    <n v="11.11"/>
    <n v="186.5"/>
    <n v="118"/>
    <n v="8.39"/>
    <x v="31"/>
    <x v="4"/>
    <x v="31"/>
    <x v="0"/>
    <x v="0"/>
  </r>
  <r>
    <s v="DC"/>
    <x v="103"/>
    <s v="area_code_415"/>
    <x v="0"/>
    <x v="1"/>
    <n v="0"/>
    <n v="167.3"/>
    <n v="91"/>
    <n v="28.44"/>
    <n v="230"/>
    <n v="68"/>
    <n v="19.55"/>
    <n v="191.7"/>
    <n v="118"/>
    <n v="8.6300000000000008"/>
    <x v="15"/>
    <x v="1"/>
    <x v="15"/>
    <x v="0"/>
    <x v="1"/>
  </r>
  <r>
    <s v="ID"/>
    <x v="9"/>
    <s v="area_code_415"/>
    <x v="0"/>
    <x v="1"/>
    <n v="0"/>
    <n v="221.1"/>
    <n v="124"/>
    <n v="37.590000000000003"/>
    <n v="110.8"/>
    <n v="94"/>
    <n v="9.42"/>
    <n v="240.1"/>
    <n v="112"/>
    <n v="10.8"/>
    <x v="15"/>
    <x v="0"/>
    <x v="15"/>
    <x v="1"/>
    <x v="0"/>
  </r>
  <r>
    <s v="UT"/>
    <x v="39"/>
    <s v="area_code_408"/>
    <x v="0"/>
    <x v="0"/>
    <n v="26"/>
    <n v="145.80000000000001"/>
    <n v="108"/>
    <n v="24.79"/>
    <n v="192.2"/>
    <n v="89"/>
    <n v="16.34"/>
    <n v="165.1"/>
    <n v="96"/>
    <n v="7.43"/>
    <x v="79"/>
    <x v="5"/>
    <x v="79"/>
    <x v="0"/>
    <x v="0"/>
  </r>
  <r>
    <s v="KY"/>
    <x v="115"/>
    <s v="area_code_510"/>
    <x v="0"/>
    <x v="1"/>
    <n v="0"/>
    <n v="222.8"/>
    <n v="122"/>
    <n v="37.880000000000003"/>
    <n v="163.19999999999999"/>
    <n v="107"/>
    <n v="13.87"/>
    <n v="160.6"/>
    <n v="112"/>
    <n v="7.23"/>
    <x v="7"/>
    <x v="3"/>
    <x v="7"/>
    <x v="0"/>
    <x v="0"/>
  </r>
  <r>
    <s v="WI"/>
    <x v="73"/>
    <s v="area_code_415"/>
    <x v="1"/>
    <x v="1"/>
    <n v="0"/>
    <n v="264.3"/>
    <n v="91"/>
    <n v="44.93"/>
    <n v="160.9"/>
    <n v="115"/>
    <n v="13.68"/>
    <n v="198.6"/>
    <n v="73"/>
    <n v="8.94"/>
    <x v="38"/>
    <x v="1"/>
    <x v="38"/>
    <x v="1"/>
    <x v="0"/>
  </r>
  <r>
    <s v="IL"/>
    <x v="138"/>
    <s v="area_code_415"/>
    <x v="0"/>
    <x v="1"/>
    <n v="0"/>
    <n v="146"/>
    <n v="78"/>
    <n v="24.82"/>
    <n v="109.7"/>
    <n v="79"/>
    <n v="9.32"/>
    <n v="247.4"/>
    <n v="108"/>
    <n v="11.13"/>
    <x v="36"/>
    <x v="2"/>
    <x v="36"/>
    <x v="1"/>
    <x v="0"/>
  </r>
  <r>
    <s v="DE"/>
    <x v="66"/>
    <s v="area_code_510"/>
    <x v="0"/>
    <x v="1"/>
    <n v="0"/>
    <n v="157.1"/>
    <n v="134"/>
    <n v="26.71"/>
    <n v="184.9"/>
    <n v="122"/>
    <n v="15.72"/>
    <n v="197.2"/>
    <n v="59"/>
    <n v="8.8699999999999992"/>
    <x v="31"/>
    <x v="1"/>
    <x v="31"/>
    <x v="4"/>
    <x v="1"/>
  </r>
  <r>
    <s v="RI"/>
    <x v="139"/>
    <s v="area_code_510"/>
    <x v="1"/>
    <x v="1"/>
    <n v="0"/>
    <n v="127.3"/>
    <n v="108"/>
    <n v="21.64"/>
    <n v="251.3"/>
    <n v="81"/>
    <n v="21.36"/>
    <n v="135"/>
    <n v="88"/>
    <n v="6.08"/>
    <x v="19"/>
    <x v="0"/>
    <x v="19"/>
    <x v="0"/>
    <x v="0"/>
  </r>
  <r>
    <s v="TX"/>
    <x v="79"/>
    <s v="area_code_415"/>
    <x v="0"/>
    <x v="1"/>
    <n v="0"/>
    <n v="187.9"/>
    <n v="110"/>
    <n v="31.94"/>
    <n v="197"/>
    <n v="117"/>
    <n v="16.75"/>
    <n v="167"/>
    <n v="108"/>
    <n v="7.52"/>
    <x v="104"/>
    <x v="4"/>
    <x v="104"/>
    <x v="2"/>
    <x v="0"/>
  </r>
  <r>
    <s v="OR"/>
    <x v="91"/>
    <s v="area_code_408"/>
    <x v="0"/>
    <x v="1"/>
    <n v="0"/>
    <n v="178.8"/>
    <n v="90"/>
    <n v="30.4"/>
    <n v="141.19999999999999"/>
    <n v="72"/>
    <n v="12"/>
    <n v="203"/>
    <n v="99"/>
    <n v="9.14"/>
    <x v="80"/>
    <x v="1"/>
    <x v="80"/>
    <x v="2"/>
    <x v="0"/>
  </r>
  <r>
    <s v="NV"/>
    <x v="32"/>
    <s v="area_code_415"/>
    <x v="0"/>
    <x v="1"/>
    <n v="0"/>
    <n v="97.2"/>
    <n v="80"/>
    <n v="16.52"/>
    <n v="186.2"/>
    <n v="90"/>
    <n v="15.83"/>
    <n v="189"/>
    <n v="92"/>
    <n v="8.5"/>
    <x v="91"/>
    <x v="3"/>
    <x v="91"/>
    <x v="2"/>
    <x v="0"/>
  </r>
  <r>
    <s v="NE"/>
    <x v="13"/>
    <s v="area_code_415"/>
    <x v="0"/>
    <x v="1"/>
    <n v="0"/>
    <n v="259.8"/>
    <n v="85"/>
    <n v="44.17"/>
    <n v="242.3"/>
    <n v="117"/>
    <n v="20.6"/>
    <n v="168.8"/>
    <n v="72"/>
    <n v="7.6"/>
    <x v="11"/>
    <x v="8"/>
    <x v="11"/>
    <x v="1"/>
    <x v="0"/>
  </r>
  <r>
    <s v="OR"/>
    <x v="14"/>
    <s v="area_code_415"/>
    <x v="0"/>
    <x v="1"/>
    <n v="0"/>
    <n v="169.5"/>
    <n v="77"/>
    <n v="28.82"/>
    <n v="124"/>
    <n v="87"/>
    <n v="10.54"/>
    <n v="219.4"/>
    <n v="92"/>
    <n v="9.8699999999999992"/>
    <x v="13"/>
    <x v="0"/>
    <x v="13"/>
    <x v="1"/>
    <x v="0"/>
  </r>
  <r>
    <s v="DE"/>
    <x v="140"/>
    <s v="area_code_510"/>
    <x v="1"/>
    <x v="1"/>
    <n v="0"/>
    <n v="171.5"/>
    <n v="99"/>
    <n v="29.16"/>
    <n v="160"/>
    <n v="103"/>
    <n v="13.6"/>
    <n v="212.4"/>
    <n v="102"/>
    <n v="9.56"/>
    <x v="105"/>
    <x v="5"/>
    <x v="105"/>
    <x v="0"/>
    <x v="1"/>
  </r>
  <r>
    <s v="AZ"/>
    <x v="6"/>
    <s v="area_code_408"/>
    <x v="0"/>
    <x v="1"/>
    <n v="0"/>
    <n v="239.9"/>
    <n v="84"/>
    <n v="40.78"/>
    <n v="174.8"/>
    <n v="106"/>
    <n v="14.86"/>
    <n v="209.5"/>
    <n v="93"/>
    <n v="9.43"/>
    <x v="52"/>
    <x v="5"/>
    <x v="52"/>
    <x v="1"/>
    <x v="0"/>
  </r>
  <r>
    <s v="SD"/>
    <x v="59"/>
    <s v="area_code_408"/>
    <x v="0"/>
    <x v="0"/>
    <n v="34"/>
    <n v="142.30000000000001"/>
    <n v="73"/>
    <n v="24.19"/>
    <n v="194.8"/>
    <n v="79"/>
    <n v="16.559999999999999"/>
    <n v="239.3"/>
    <n v="81"/>
    <n v="10.77"/>
    <x v="106"/>
    <x v="3"/>
    <x v="106"/>
    <x v="0"/>
    <x v="0"/>
  </r>
  <r>
    <s v="NV"/>
    <x v="85"/>
    <s v="area_code_415"/>
    <x v="0"/>
    <x v="1"/>
    <n v="0"/>
    <n v="184.1"/>
    <n v="98"/>
    <n v="31.3"/>
    <n v="327"/>
    <n v="73"/>
    <n v="27.8"/>
    <n v="212.5"/>
    <n v="106"/>
    <n v="9.56"/>
    <x v="4"/>
    <x v="3"/>
    <x v="4"/>
    <x v="2"/>
    <x v="0"/>
  </r>
  <r>
    <s v="NM"/>
    <x v="7"/>
    <s v="area_code_415"/>
    <x v="0"/>
    <x v="0"/>
    <n v="28"/>
    <n v="206.9"/>
    <n v="126"/>
    <n v="35.17"/>
    <n v="264.39999999999998"/>
    <n v="126"/>
    <n v="22.47"/>
    <n v="171.8"/>
    <n v="124"/>
    <n v="7.73"/>
    <x v="38"/>
    <x v="12"/>
    <x v="38"/>
    <x v="2"/>
    <x v="0"/>
  </r>
  <r>
    <s v="MN"/>
    <x v="97"/>
    <s v="area_code_510"/>
    <x v="0"/>
    <x v="1"/>
    <n v="0"/>
    <n v="259.89999999999998"/>
    <n v="114"/>
    <n v="44.18"/>
    <n v="176.2"/>
    <n v="94"/>
    <n v="14.98"/>
    <n v="77.2"/>
    <n v="112"/>
    <n v="3.47"/>
    <x v="107"/>
    <x v="8"/>
    <x v="107"/>
    <x v="0"/>
    <x v="0"/>
  </r>
  <r>
    <s v="NJ"/>
    <x v="108"/>
    <s v="area_code_415"/>
    <x v="0"/>
    <x v="1"/>
    <n v="0"/>
    <n v="203.8"/>
    <n v="122"/>
    <n v="34.65"/>
    <n v="283.10000000000002"/>
    <n v="76"/>
    <n v="24.06"/>
    <n v="197.3"/>
    <n v="83"/>
    <n v="8.8800000000000008"/>
    <x v="60"/>
    <x v="0"/>
    <x v="60"/>
    <x v="1"/>
    <x v="0"/>
  </r>
  <r>
    <s v="IN"/>
    <x v="39"/>
    <s v="area_code_415"/>
    <x v="0"/>
    <x v="0"/>
    <n v="45"/>
    <n v="248.8"/>
    <n v="124"/>
    <n v="42.3"/>
    <n v="140.30000000000001"/>
    <n v="77"/>
    <n v="11.93"/>
    <n v="263.60000000000002"/>
    <n v="102"/>
    <n v="11.86"/>
    <x v="19"/>
    <x v="5"/>
    <x v="19"/>
    <x v="3"/>
    <x v="0"/>
  </r>
  <r>
    <s v="DC"/>
    <x v="126"/>
    <s v="area_code_415"/>
    <x v="0"/>
    <x v="0"/>
    <n v="16"/>
    <n v="221.6"/>
    <n v="110"/>
    <n v="37.67"/>
    <n v="130.19999999999999"/>
    <n v="123"/>
    <n v="11.07"/>
    <n v="200"/>
    <n v="108"/>
    <n v="9"/>
    <x v="61"/>
    <x v="0"/>
    <x v="61"/>
    <x v="0"/>
    <x v="0"/>
  </r>
  <r>
    <s v="MA"/>
    <x v="131"/>
    <s v="area_code_510"/>
    <x v="1"/>
    <x v="1"/>
    <n v="0"/>
    <n v="192.9"/>
    <n v="131"/>
    <n v="32.79"/>
    <n v="185.5"/>
    <n v="101"/>
    <n v="15.77"/>
    <n v="205.2"/>
    <n v="130"/>
    <n v="9.23"/>
    <x v="54"/>
    <x v="4"/>
    <x v="54"/>
    <x v="0"/>
    <x v="0"/>
  </r>
  <r>
    <s v="ME"/>
    <x v="74"/>
    <s v="area_code_415"/>
    <x v="0"/>
    <x v="1"/>
    <n v="0"/>
    <n v="122.4"/>
    <n v="129"/>
    <n v="20.81"/>
    <n v="113.4"/>
    <n v="108"/>
    <n v="9.64"/>
    <n v="180.2"/>
    <n v="97"/>
    <n v="8.11"/>
    <x v="60"/>
    <x v="2"/>
    <x v="60"/>
    <x v="0"/>
    <x v="0"/>
  </r>
  <r>
    <s v="NH"/>
    <x v="93"/>
    <s v="area_code_415"/>
    <x v="0"/>
    <x v="0"/>
    <n v="40"/>
    <n v="104.9"/>
    <n v="65"/>
    <n v="17.829999999999998"/>
    <n v="216.3"/>
    <n v="93"/>
    <n v="18.39"/>
    <n v="217.4"/>
    <n v="128"/>
    <n v="9.7799999999999994"/>
    <x v="63"/>
    <x v="6"/>
    <x v="63"/>
    <x v="0"/>
    <x v="0"/>
  </r>
  <r>
    <s v="AZ"/>
    <x v="141"/>
    <s v="area_code_408"/>
    <x v="0"/>
    <x v="1"/>
    <n v="0"/>
    <n v="173.2"/>
    <n v="91"/>
    <n v="29.44"/>
    <n v="196.8"/>
    <n v="106"/>
    <n v="16.73"/>
    <n v="209.3"/>
    <n v="128"/>
    <n v="9.42"/>
    <x v="7"/>
    <x v="1"/>
    <x v="7"/>
    <x v="3"/>
    <x v="0"/>
  </r>
  <r>
    <s v="OR"/>
    <x v="23"/>
    <s v="area_code_510"/>
    <x v="0"/>
    <x v="1"/>
    <n v="0"/>
    <n v="119.4"/>
    <n v="69"/>
    <n v="20.3"/>
    <n v="273.3"/>
    <n v="92"/>
    <n v="23.23"/>
    <n v="214.4"/>
    <n v="153"/>
    <n v="9.65"/>
    <x v="70"/>
    <x v="2"/>
    <x v="70"/>
    <x v="2"/>
    <x v="0"/>
  </r>
  <r>
    <s v="KS"/>
    <x v="57"/>
    <s v="area_code_510"/>
    <x v="0"/>
    <x v="1"/>
    <n v="0"/>
    <n v="250.3"/>
    <n v="100"/>
    <n v="42.55"/>
    <n v="260.60000000000002"/>
    <n v="90"/>
    <n v="22.15"/>
    <n v="195"/>
    <n v="104"/>
    <n v="8.7799999999999994"/>
    <x v="64"/>
    <x v="5"/>
    <x v="64"/>
    <x v="2"/>
    <x v="1"/>
  </r>
  <r>
    <s v="NE"/>
    <x v="88"/>
    <s v="area_code_415"/>
    <x v="0"/>
    <x v="1"/>
    <n v="0"/>
    <n v="178.3"/>
    <n v="98"/>
    <n v="30.31"/>
    <n v="282.60000000000002"/>
    <n v="110"/>
    <n v="24.02"/>
    <n v="181"/>
    <n v="98"/>
    <n v="8.15"/>
    <x v="37"/>
    <x v="4"/>
    <x v="37"/>
    <x v="0"/>
    <x v="0"/>
  </r>
  <r>
    <s v="MI"/>
    <x v="126"/>
    <s v="area_code_510"/>
    <x v="0"/>
    <x v="1"/>
    <n v="0"/>
    <n v="243.4"/>
    <n v="77"/>
    <n v="41.38"/>
    <n v="182.1"/>
    <n v="97"/>
    <n v="15.48"/>
    <n v="259.2"/>
    <n v="94"/>
    <n v="11.66"/>
    <x v="75"/>
    <x v="5"/>
    <x v="75"/>
    <x v="0"/>
    <x v="0"/>
  </r>
  <r>
    <s v="SC"/>
    <x v="26"/>
    <s v="area_code_415"/>
    <x v="0"/>
    <x v="1"/>
    <n v="0"/>
    <n v="155"/>
    <n v="106"/>
    <n v="26.35"/>
    <n v="175.3"/>
    <n v="101"/>
    <n v="14.9"/>
    <n v="155.6"/>
    <n v="125"/>
    <n v="7"/>
    <x v="23"/>
    <x v="1"/>
    <x v="23"/>
    <x v="2"/>
    <x v="0"/>
  </r>
  <r>
    <s v="PA"/>
    <x v="72"/>
    <s v="area_code_408"/>
    <x v="0"/>
    <x v="0"/>
    <n v="31"/>
    <n v="288.7"/>
    <n v="101"/>
    <n v="49.08"/>
    <n v="203.8"/>
    <n v="102"/>
    <n v="17.32"/>
    <n v="203.2"/>
    <n v="49"/>
    <n v="9.14"/>
    <x v="53"/>
    <x v="0"/>
    <x v="53"/>
    <x v="1"/>
    <x v="0"/>
  </r>
  <r>
    <s v="MT"/>
    <x v="142"/>
    <s v="area_code_510"/>
    <x v="0"/>
    <x v="0"/>
    <n v="29"/>
    <n v="240.4"/>
    <n v="80"/>
    <n v="40.869999999999997"/>
    <n v="118.9"/>
    <n v="91"/>
    <n v="10.11"/>
    <n v="164.2"/>
    <n v="108"/>
    <n v="7.39"/>
    <x v="7"/>
    <x v="0"/>
    <x v="7"/>
    <x v="0"/>
    <x v="0"/>
  </r>
  <r>
    <s v="OH"/>
    <x v="108"/>
    <s v="area_code_510"/>
    <x v="0"/>
    <x v="1"/>
    <n v="0"/>
    <n v="278"/>
    <n v="76"/>
    <n v="47.26"/>
    <n v="176.7"/>
    <n v="74"/>
    <n v="15.02"/>
    <n v="219.5"/>
    <n v="126"/>
    <n v="9.8800000000000008"/>
    <x v="24"/>
    <x v="4"/>
    <x v="24"/>
    <x v="1"/>
    <x v="1"/>
  </r>
  <r>
    <s v="WY"/>
    <x v="48"/>
    <s v="area_code_510"/>
    <x v="0"/>
    <x v="1"/>
    <n v="0"/>
    <n v="155"/>
    <n v="93"/>
    <n v="26.35"/>
    <n v="330.6"/>
    <n v="106"/>
    <n v="28.1"/>
    <n v="189.4"/>
    <n v="123"/>
    <n v="8.52"/>
    <x v="88"/>
    <x v="0"/>
    <x v="88"/>
    <x v="0"/>
    <x v="0"/>
  </r>
  <r>
    <s v="MI"/>
    <x v="40"/>
    <s v="area_code_415"/>
    <x v="0"/>
    <x v="1"/>
    <n v="0"/>
    <n v="153.5"/>
    <n v="99"/>
    <n v="26.1"/>
    <n v="197.6"/>
    <n v="102"/>
    <n v="16.8"/>
    <n v="198.5"/>
    <n v="86"/>
    <n v="8.93"/>
    <x v="21"/>
    <x v="5"/>
    <x v="21"/>
    <x v="2"/>
    <x v="0"/>
  </r>
  <r>
    <s v="AR"/>
    <x v="29"/>
    <s v="area_code_510"/>
    <x v="0"/>
    <x v="0"/>
    <n v="27"/>
    <n v="273.39999999999998"/>
    <n v="141"/>
    <n v="46.48"/>
    <n v="154"/>
    <n v="99"/>
    <n v="13.09"/>
    <n v="245.8"/>
    <n v="112"/>
    <n v="11.06"/>
    <x v="10"/>
    <x v="3"/>
    <x v="10"/>
    <x v="0"/>
    <x v="0"/>
  </r>
  <r>
    <s v="FL"/>
    <x v="63"/>
    <s v="area_code_408"/>
    <x v="0"/>
    <x v="1"/>
    <n v="0"/>
    <n v="155.30000000000001"/>
    <n v="93"/>
    <n v="26.4"/>
    <n v="265.7"/>
    <n v="95"/>
    <n v="22.58"/>
    <n v="145.69999999999999"/>
    <n v="67"/>
    <n v="6.56"/>
    <x v="70"/>
    <x v="4"/>
    <x v="70"/>
    <x v="1"/>
    <x v="0"/>
  </r>
  <r>
    <s v="MO"/>
    <x v="29"/>
    <s v="area_code_510"/>
    <x v="0"/>
    <x v="1"/>
    <n v="0"/>
    <n v="246.8"/>
    <n v="129"/>
    <n v="41.96"/>
    <n v="187.8"/>
    <n v="121"/>
    <n v="15.96"/>
    <n v="154.5"/>
    <n v="109"/>
    <n v="6.95"/>
    <x v="44"/>
    <x v="1"/>
    <x v="44"/>
    <x v="0"/>
    <x v="0"/>
  </r>
  <r>
    <s v="WI"/>
    <x v="13"/>
    <s v="area_code_408"/>
    <x v="1"/>
    <x v="1"/>
    <n v="0"/>
    <n v="165.4"/>
    <n v="107"/>
    <n v="28.12"/>
    <n v="196"/>
    <n v="126"/>
    <n v="16.66"/>
    <n v="349.2"/>
    <n v="110"/>
    <n v="15.71"/>
    <x v="63"/>
    <x v="2"/>
    <x v="63"/>
    <x v="2"/>
    <x v="0"/>
  </r>
  <r>
    <s v="TX"/>
    <x v="105"/>
    <s v="area_code_510"/>
    <x v="0"/>
    <x v="1"/>
    <n v="0"/>
    <n v="138.30000000000001"/>
    <n v="116"/>
    <n v="23.51"/>
    <n v="236"/>
    <n v="138"/>
    <n v="20.059999999999999"/>
    <n v="179.1"/>
    <n v="110"/>
    <n v="8.06"/>
    <x v="63"/>
    <x v="4"/>
    <x v="63"/>
    <x v="3"/>
    <x v="0"/>
  </r>
  <r>
    <s v="NM"/>
    <x v="132"/>
    <s v="area_code_510"/>
    <x v="0"/>
    <x v="1"/>
    <n v="0"/>
    <n v="286.7"/>
    <n v="100"/>
    <n v="48.74"/>
    <n v="134.4"/>
    <n v="121"/>
    <n v="11.42"/>
    <n v="192.9"/>
    <n v="122"/>
    <n v="8.68"/>
    <x v="72"/>
    <x v="1"/>
    <x v="72"/>
    <x v="2"/>
    <x v="0"/>
  </r>
  <r>
    <s v="ID"/>
    <x v="134"/>
    <s v="area_code_510"/>
    <x v="0"/>
    <x v="0"/>
    <n v="21"/>
    <n v="264.3"/>
    <n v="79"/>
    <n v="44.93"/>
    <n v="202.8"/>
    <n v="118"/>
    <n v="17.239999999999998"/>
    <n v="173.4"/>
    <n v="92"/>
    <n v="7.8"/>
    <x v="21"/>
    <x v="0"/>
    <x v="21"/>
    <x v="4"/>
    <x v="0"/>
  </r>
  <r>
    <s v="AL"/>
    <x v="13"/>
    <s v="area_code_408"/>
    <x v="0"/>
    <x v="1"/>
    <n v="0"/>
    <n v="127.9"/>
    <n v="107"/>
    <n v="21.74"/>
    <n v="271.2"/>
    <n v="124"/>
    <n v="23.05"/>
    <n v="202.2"/>
    <n v="76"/>
    <n v="9.1"/>
    <x v="60"/>
    <x v="1"/>
    <x v="60"/>
    <x v="1"/>
    <x v="0"/>
  </r>
  <r>
    <s v="KS"/>
    <x v="112"/>
    <s v="area_code_408"/>
    <x v="0"/>
    <x v="0"/>
    <n v="23"/>
    <n v="225.5"/>
    <n v="107"/>
    <n v="38.340000000000003"/>
    <n v="246.3"/>
    <n v="105"/>
    <n v="20.94"/>
    <n v="245.7"/>
    <n v="81"/>
    <n v="11.06"/>
    <x v="52"/>
    <x v="5"/>
    <x v="52"/>
    <x v="1"/>
    <x v="0"/>
  </r>
  <r>
    <s v="SD"/>
    <x v="75"/>
    <s v="area_code_510"/>
    <x v="0"/>
    <x v="1"/>
    <n v="0"/>
    <n v="149"/>
    <n v="115"/>
    <n v="25.33"/>
    <n v="245.3"/>
    <n v="105"/>
    <n v="20.85"/>
    <n v="260"/>
    <n v="94"/>
    <n v="11.7"/>
    <x v="24"/>
    <x v="0"/>
    <x v="24"/>
    <x v="1"/>
    <x v="0"/>
  </r>
  <r>
    <s v="LA"/>
    <x v="44"/>
    <s v="area_code_415"/>
    <x v="0"/>
    <x v="0"/>
    <n v="20"/>
    <n v="198.9"/>
    <n v="77"/>
    <n v="33.81"/>
    <n v="274"/>
    <n v="88"/>
    <n v="23.29"/>
    <n v="190.7"/>
    <n v="76"/>
    <n v="8.58"/>
    <x v="108"/>
    <x v="6"/>
    <x v="108"/>
    <x v="0"/>
    <x v="0"/>
  </r>
  <r>
    <s v="OH"/>
    <x v="35"/>
    <s v="area_code_408"/>
    <x v="0"/>
    <x v="1"/>
    <n v="0"/>
    <n v="256.39999999999998"/>
    <n v="125"/>
    <n v="43.59"/>
    <n v="273.89999999999998"/>
    <n v="100"/>
    <n v="23.28"/>
    <n v="222.7"/>
    <n v="101"/>
    <n v="10.02"/>
    <x v="22"/>
    <x v="8"/>
    <x v="22"/>
    <x v="0"/>
    <x v="1"/>
  </r>
  <r>
    <s v="MA"/>
    <x v="105"/>
    <s v="area_code_415"/>
    <x v="0"/>
    <x v="1"/>
    <n v="0"/>
    <n v="264.8"/>
    <n v="124"/>
    <n v="45.02"/>
    <n v="245.4"/>
    <n v="112"/>
    <n v="20.86"/>
    <n v="160.5"/>
    <n v="115"/>
    <n v="7.22"/>
    <x v="102"/>
    <x v="5"/>
    <x v="102"/>
    <x v="0"/>
    <x v="1"/>
  </r>
  <r>
    <s v="AZ"/>
    <x v="37"/>
    <s v="area_code_415"/>
    <x v="0"/>
    <x v="1"/>
    <n v="0"/>
    <n v="98.2"/>
    <n v="88"/>
    <n v="16.690000000000001"/>
    <n v="180.5"/>
    <n v="69"/>
    <n v="15.34"/>
    <n v="223.6"/>
    <n v="69"/>
    <n v="10.06"/>
    <x v="38"/>
    <x v="5"/>
    <x v="38"/>
    <x v="2"/>
    <x v="0"/>
  </r>
  <r>
    <s v="KY"/>
    <x v="21"/>
    <s v="area_code_408"/>
    <x v="0"/>
    <x v="1"/>
    <n v="0"/>
    <n v="159.80000000000001"/>
    <n v="99"/>
    <n v="27.17"/>
    <n v="264"/>
    <n v="64"/>
    <n v="22.44"/>
    <n v="115.7"/>
    <n v="70"/>
    <n v="5.21"/>
    <x v="84"/>
    <x v="2"/>
    <x v="84"/>
    <x v="2"/>
    <x v="0"/>
  </r>
  <r>
    <s v="WA"/>
    <x v="143"/>
    <s v="area_code_415"/>
    <x v="0"/>
    <x v="1"/>
    <n v="0"/>
    <n v="184"/>
    <n v="120"/>
    <n v="31.28"/>
    <n v="120.4"/>
    <n v="119"/>
    <n v="10.23"/>
    <n v="153.69999999999999"/>
    <n v="86"/>
    <n v="6.92"/>
    <x v="34"/>
    <x v="0"/>
    <x v="34"/>
    <x v="1"/>
    <x v="0"/>
  </r>
  <r>
    <s v="UT"/>
    <x v="53"/>
    <s v="area_code_415"/>
    <x v="0"/>
    <x v="1"/>
    <n v="0"/>
    <n v="261.8"/>
    <n v="128"/>
    <n v="44.51"/>
    <n v="220.6"/>
    <n v="104"/>
    <n v="18.75"/>
    <n v="136.6"/>
    <n v="91"/>
    <n v="6.15"/>
    <x v="63"/>
    <x v="1"/>
    <x v="63"/>
    <x v="0"/>
    <x v="0"/>
  </r>
  <r>
    <s v="RI"/>
    <x v="85"/>
    <s v="area_code_408"/>
    <x v="0"/>
    <x v="1"/>
    <n v="0"/>
    <n v="147.9"/>
    <n v="109"/>
    <n v="25.14"/>
    <n v="228.4"/>
    <n v="117"/>
    <n v="19.41"/>
    <n v="299.7"/>
    <n v="90"/>
    <n v="13.49"/>
    <x v="63"/>
    <x v="6"/>
    <x v="63"/>
    <x v="3"/>
    <x v="0"/>
  </r>
  <r>
    <s v="OH"/>
    <x v="56"/>
    <s v="area_code_415"/>
    <x v="0"/>
    <x v="0"/>
    <n v="18"/>
    <n v="106.4"/>
    <n v="109"/>
    <n v="18.09"/>
    <n v="108.1"/>
    <n v="113"/>
    <n v="9.19"/>
    <n v="208.4"/>
    <n v="111"/>
    <n v="9.3800000000000008"/>
    <x v="3"/>
    <x v="1"/>
    <x v="3"/>
    <x v="0"/>
    <x v="0"/>
  </r>
  <r>
    <s v="NV"/>
    <x v="75"/>
    <s v="area_code_408"/>
    <x v="0"/>
    <x v="1"/>
    <n v="0"/>
    <n v="133.69999999999999"/>
    <n v="75"/>
    <n v="22.73"/>
    <n v="195.3"/>
    <n v="87"/>
    <n v="16.600000000000001"/>
    <n v="280.5"/>
    <n v="89"/>
    <n v="12.62"/>
    <x v="96"/>
    <x v="5"/>
    <x v="96"/>
    <x v="1"/>
    <x v="0"/>
  </r>
  <r>
    <s v="NV"/>
    <x v="144"/>
    <s v="area_code_415"/>
    <x v="1"/>
    <x v="1"/>
    <n v="0"/>
    <n v="178.2"/>
    <n v="113"/>
    <n v="30.29"/>
    <n v="167.8"/>
    <n v="94"/>
    <n v="14.26"/>
    <n v="182.1"/>
    <n v="111"/>
    <n v="8.19"/>
    <x v="109"/>
    <x v="0"/>
    <x v="109"/>
    <x v="3"/>
    <x v="1"/>
  </r>
  <r>
    <s v="FL"/>
    <x v="19"/>
    <s v="area_code_510"/>
    <x v="0"/>
    <x v="0"/>
    <n v="36"/>
    <n v="226.2"/>
    <n v="103"/>
    <n v="38.450000000000003"/>
    <n v="181.6"/>
    <n v="125"/>
    <n v="15.44"/>
    <n v="258.8"/>
    <n v="102"/>
    <n v="11.65"/>
    <x v="26"/>
    <x v="1"/>
    <x v="26"/>
    <x v="3"/>
    <x v="1"/>
  </r>
  <r>
    <s v="AL"/>
    <x v="70"/>
    <s v="area_code_510"/>
    <x v="0"/>
    <x v="0"/>
    <n v="34"/>
    <n v="194.4"/>
    <n v="63"/>
    <n v="33.049999999999997"/>
    <n v="254.9"/>
    <n v="110"/>
    <n v="21.67"/>
    <n v="160.19999999999999"/>
    <n v="115"/>
    <n v="7.21"/>
    <x v="110"/>
    <x v="6"/>
    <x v="110"/>
    <x v="2"/>
    <x v="0"/>
  </r>
  <r>
    <s v="NE"/>
    <x v="133"/>
    <s v="area_code_415"/>
    <x v="0"/>
    <x v="1"/>
    <n v="0"/>
    <n v="240.3"/>
    <n v="146"/>
    <n v="40.85"/>
    <n v="164.6"/>
    <n v="83"/>
    <n v="13.99"/>
    <n v="240.7"/>
    <n v="106"/>
    <n v="10.83"/>
    <x v="15"/>
    <x v="5"/>
    <x v="15"/>
    <x v="0"/>
    <x v="0"/>
  </r>
  <r>
    <s v="NV"/>
    <x v="26"/>
    <s v="area_code_408"/>
    <x v="0"/>
    <x v="1"/>
    <n v="0"/>
    <n v="75"/>
    <n v="116"/>
    <n v="12.75"/>
    <n v="248.7"/>
    <n v="87"/>
    <n v="21.14"/>
    <n v="176"/>
    <n v="83"/>
    <n v="7.92"/>
    <x v="17"/>
    <x v="3"/>
    <x v="17"/>
    <x v="3"/>
    <x v="0"/>
  </r>
  <r>
    <s v="IL"/>
    <x v="44"/>
    <s v="area_code_408"/>
    <x v="0"/>
    <x v="1"/>
    <n v="0"/>
    <n v="69.099999999999994"/>
    <n v="117"/>
    <n v="11.75"/>
    <n v="136.30000000000001"/>
    <n v="100"/>
    <n v="11.59"/>
    <n v="181.7"/>
    <n v="53"/>
    <n v="8.18"/>
    <x v="21"/>
    <x v="0"/>
    <x v="21"/>
    <x v="0"/>
    <x v="0"/>
  </r>
  <r>
    <s v="WV"/>
    <x v="145"/>
    <s v="area_code_510"/>
    <x v="0"/>
    <x v="0"/>
    <n v="33"/>
    <n v="96.6"/>
    <n v="59"/>
    <n v="16.420000000000002"/>
    <n v="315.39999999999998"/>
    <n v="98"/>
    <n v="26.81"/>
    <n v="163.30000000000001"/>
    <n v="117"/>
    <n v="7.35"/>
    <x v="46"/>
    <x v="4"/>
    <x v="46"/>
    <x v="4"/>
    <x v="1"/>
  </r>
  <r>
    <s v="MI"/>
    <x v="83"/>
    <s v="area_code_415"/>
    <x v="0"/>
    <x v="0"/>
    <n v="20"/>
    <n v="214.6"/>
    <n v="101"/>
    <n v="36.479999999999997"/>
    <n v="235.1"/>
    <n v="132"/>
    <n v="19.98"/>
    <n v="162.80000000000001"/>
    <n v="132"/>
    <n v="7.33"/>
    <x v="102"/>
    <x v="14"/>
    <x v="102"/>
    <x v="1"/>
    <x v="0"/>
  </r>
  <r>
    <s v="GA"/>
    <x v="7"/>
    <s v="area_code_510"/>
    <x v="0"/>
    <x v="0"/>
    <n v="23"/>
    <n v="149.69999999999999"/>
    <n v="112"/>
    <n v="25.45"/>
    <n v="162.5"/>
    <n v="118"/>
    <n v="13.81"/>
    <n v="220.3"/>
    <n v="115"/>
    <n v="9.91"/>
    <x v="98"/>
    <x v="5"/>
    <x v="98"/>
    <x v="3"/>
    <x v="0"/>
  </r>
  <r>
    <s v="AZ"/>
    <x v="141"/>
    <s v="area_code_408"/>
    <x v="0"/>
    <x v="1"/>
    <n v="0"/>
    <n v="149.80000000000001"/>
    <n v="134"/>
    <n v="25.47"/>
    <n v="164.4"/>
    <n v="98"/>
    <n v="13.97"/>
    <n v="294.7"/>
    <n v="124"/>
    <n v="13.26"/>
    <x v="111"/>
    <x v="5"/>
    <x v="111"/>
    <x v="0"/>
    <x v="0"/>
  </r>
  <r>
    <s v="ID"/>
    <x v="63"/>
    <s v="area_code_408"/>
    <x v="0"/>
    <x v="1"/>
    <n v="0"/>
    <n v="190.4"/>
    <n v="102"/>
    <n v="32.369999999999997"/>
    <n v="158.1"/>
    <n v="107"/>
    <n v="13.44"/>
    <n v="271.5"/>
    <n v="92"/>
    <n v="12.22"/>
    <x v="7"/>
    <x v="4"/>
    <x v="7"/>
    <x v="2"/>
    <x v="0"/>
  </r>
  <r>
    <s v="HI"/>
    <x v="123"/>
    <s v="area_code_408"/>
    <x v="0"/>
    <x v="1"/>
    <n v="0"/>
    <n v="181.4"/>
    <n v="108"/>
    <n v="30.84"/>
    <n v="253.8"/>
    <n v="54"/>
    <n v="21.57"/>
    <n v="112.3"/>
    <n v="94"/>
    <n v="5.05"/>
    <x v="43"/>
    <x v="3"/>
    <x v="43"/>
    <x v="0"/>
    <x v="0"/>
  </r>
  <r>
    <s v="NV"/>
    <x v="146"/>
    <s v="area_code_408"/>
    <x v="0"/>
    <x v="1"/>
    <n v="0"/>
    <n v="151.1"/>
    <n v="123"/>
    <n v="25.69"/>
    <n v="187.4"/>
    <n v="104"/>
    <n v="15.93"/>
    <n v="255.4"/>
    <n v="93"/>
    <n v="11.49"/>
    <x v="58"/>
    <x v="0"/>
    <x v="58"/>
    <x v="0"/>
    <x v="0"/>
  </r>
  <r>
    <s v="MD"/>
    <x v="9"/>
    <s v="area_code_415"/>
    <x v="0"/>
    <x v="1"/>
    <n v="0"/>
    <n v="155.69999999999999"/>
    <n v="116"/>
    <n v="26.47"/>
    <n v="173.7"/>
    <n v="63"/>
    <n v="14.76"/>
    <n v="257.39999999999998"/>
    <n v="97"/>
    <n v="11.58"/>
    <x v="111"/>
    <x v="4"/>
    <x v="111"/>
    <x v="1"/>
    <x v="0"/>
  </r>
  <r>
    <s v="GA"/>
    <x v="6"/>
    <s v="area_code_510"/>
    <x v="0"/>
    <x v="1"/>
    <n v="0"/>
    <n v="149.9"/>
    <n v="95"/>
    <n v="25.48"/>
    <n v="256.10000000000002"/>
    <n v="110"/>
    <n v="21.77"/>
    <n v="212.7"/>
    <n v="92"/>
    <n v="9.57"/>
    <x v="64"/>
    <x v="15"/>
    <x v="64"/>
    <x v="2"/>
    <x v="0"/>
  </r>
  <r>
    <s v="GA"/>
    <x v="13"/>
    <s v="area_code_510"/>
    <x v="0"/>
    <x v="1"/>
    <n v="0"/>
    <n v="222.3"/>
    <n v="132"/>
    <n v="37.79"/>
    <n v="231.5"/>
    <n v="101"/>
    <n v="19.68"/>
    <n v="223.5"/>
    <n v="75"/>
    <n v="10.06"/>
    <x v="34"/>
    <x v="5"/>
    <x v="34"/>
    <x v="3"/>
    <x v="0"/>
  </r>
  <r>
    <s v="UT"/>
    <x v="25"/>
    <s v="area_code_415"/>
    <x v="0"/>
    <x v="0"/>
    <n v="16"/>
    <n v="149.4"/>
    <n v="111"/>
    <n v="25.4"/>
    <n v="131.80000000000001"/>
    <n v="113"/>
    <n v="11.2"/>
    <n v="132.69999999999999"/>
    <n v="87"/>
    <n v="5.97"/>
    <x v="92"/>
    <x v="5"/>
    <x v="92"/>
    <x v="1"/>
    <x v="0"/>
  </r>
  <r>
    <s v="MA"/>
    <x v="147"/>
    <s v="area_code_510"/>
    <x v="1"/>
    <x v="1"/>
    <n v="0"/>
    <n v="233.8"/>
    <n v="103"/>
    <n v="39.75"/>
    <n v="221.6"/>
    <n v="131"/>
    <n v="18.84"/>
    <n v="146.9"/>
    <n v="106"/>
    <n v="6.61"/>
    <x v="75"/>
    <x v="0"/>
    <x v="75"/>
    <x v="1"/>
    <x v="0"/>
  </r>
  <r>
    <s v="IN"/>
    <x v="14"/>
    <s v="area_code_415"/>
    <x v="0"/>
    <x v="1"/>
    <n v="0"/>
    <n v="204.2"/>
    <n v="100"/>
    <n v="34.71"/>
    <n v="292.60000000000002"/>
    <n v="139"/>
    <n v="24.87"/>
    <n v="244.3"/>
    <n v="105"/>
    <n v="10.99"/>
    <x v="26"/>
    <x v="5"/>
    <x v="26"/>
    <x v="1"/>
    <x v="0"/>
  </r>
  <r>
    <s v="VT"/>
    <x v="148"/>
    <s v="area_code_510"/>
    <x v="0"/>
    <x v="1"/>
    <n v="0"/>
    <n v="242.9"/>
    <n v="126"/>
    <n v="41.29"/>
    <n v="209.8"/>
    <n v="65"/>
    <n v="17.829999999999998"/>
    <n v="228.4"/>
    <n v="126"/>
    <n v="10.28"/>
    <x v="77"/>
    <x v="13"/>
    <x v="77"/>
    <x v="0"/>
    <x v="0"/>
  </r>
  <r>
    <s v="IA"/>
    <x v="17"/>
    <s v="area_code_415"/>
    <x v="0"/>
    <x v="1"/>
    <n v="0"/>
    <n v="150.4"/>
    <n v="119"/>
    <n v="25.57"/>
    <n v="230.5"/>
    <n v="99"/>
    <n v="19.59"/>
    <n v="186.3"/>
    <n v="76"/>
    <n v="8.3800000000000008"/>
    <x v="10"/>
    <x v="4"/>
    <x v="10"/>
    <x v="0"/>
    <x v="0"/>
  </r>
  <r>
    <s v="AL"/>
    <x v="132"/>
    <s v="area_code_415"/>
    <x v="1"/>
    <x v="1"/>
    <n v="0"/>
    <n v="191.9"/>
    <n v="91"/>
    <n v="32.619999999999997"/>
    <n v="256.10000000000002"/>
    <n v="110"/>
    <n v="21.77"/>
    <n v="203.7"/>
    <n v="101"/>
    <n v="9.17"/>
    <x v="108"/>
    <x v="3"/>
    <x v="108"/>
    <x v="0"/>
    <x v="1"/>
  </r>
  <r>
    <s v="ME"/>
    <x v="73"/>
    <s v="area_code_415"/>
    <x v="1"/>
    <x v="1"/>
    <n v="0"/>
    <n v="130.69999999999999"/>
    <n v="113"/>
    <n v="22.22"/>
    <n v="260.60000000000002"/>
    <n v="122"/>
    <n v="22.15"/>
    <n v="244.2"/>
    <n v="98"/>
    <n v="10.99"/>
    <x v="27"/>
    <x v="5"/>
    <x v="27"/>
    <x v="2"/>
    <x v="1"/>
  </r>
  <r>
    <s v="RI"/>
    <x v="131"/>
    <s v="area_code_415"/>
    <x v="0"/>
    <x v="0"/>
    <n v="33"/>
    <n v="119.6"/>
    <n v="104"/>
    <n v="20.329999999999998"/>
    <n v="278.7"/>
    <n v="88"/>
    <n v="23.69"/>
    <n v="263.39999999999998"/>
    <n v="175"/>
    <n v="11.85"/>
    <x v="96"/>
    <x v="5"/>
    <x v="96"/>
    <x v="2"/>
    <x v="0"/>
  </r>
  <r>
    <s v="MD"/>
    <x v="149"/>
    <s v="area_code_408"/>
    <x v="0"/>
    <x v="1"/>
    <n v="0"/>
    <n v="273.60000000000002"/>
    <n v="93"/>
    <n v="46.51"/>
    <n v="114.6"/>
    <n v="116"/>
    <n v="9.74"/>
    <n v="250.6"/>
    <n v="120"/>
    <n v="11.28"/>
    <x v="45"/>
    <x v="4"/>
    <x v="45"/>
    <x v="0"/>
    <x v="0"/>
  </r>
  <r>
    <s v="FL"/>
    <x v="12"/>
    <s v="area_code_415"/>
    <x v="1"/>
    <x v="1"/>
    <n v="0"/>
    <n v="156.1"/>
    <n v="114"/>
    <n v="26.54"/>
    <n v="180.3"/>
    <n v="63"/>
    <n v="15.33"/>
    <n v="179.6"/>
    <n v="115"/>
    <n v="8.08"/>
    <x v="22"/>
    <x v="6"/>
    <x v="22"/>
    <x v="2"/>
    <x v="0"/>
  </r>
  <r>
    <s v="ME"/>
    <x v="3"/>
    <s v="area_code_408"/>
    <x v="1"/>
    <x v="1"/>
    <n v="0"/>
    <n v="211.3"/>
    <n v="61"/>
    <n v="35.92"/>
    <n v="105.6"/>
    <n v="119"/>
    <n v="8.98"/>
    <n v="175.9"/>
    <n v="63"/>
    <n v="7.92"/>
    <x v="84"/>
    <x v="4"/>
    <x v="84"/>
    <x v="4"/>
    <x v="1"/>
  </r>
  <r>
    <s v="SD"/>
    <x v="49"/>
    <s v="area_code_415"/>
    <x v="0"/>
    <x v="0"/>
    <n v="23"/>
    <n v="114.3"/>
    <n v="102"/>
    <n v="19.43"/>
    <n v="190.3"/>
    <n v="103"/>
    <n v="16.18"/>
    <n v="240.4"/>
    <n v="111"/>
    <n v="10.82"/>
    <x v="44"/>
    <x v="2"/>
    <x v="44"/>
    <x v="3"/>
    <x v="0"/>
  </r>
  <r>
    <s v="MI"/>
    <x v="67"/>
    <s v="area_code_415"/>
    <x v="1"/>
    <x v="1"/>
    <n v="0"/>
    <n v="216.9"/>
    <n v="61"/>
    <n v="36.869999999999997"/>
    <n v="207.4"/>
    <n v="120"/>
    <n v="17.63"/>
    <n v="221.7"/>
    <n v="110"/>
    <n v="9.98"/>
    <x v="112"/>
    <x v="1"/>
    <x v="112"/>
    <x v="0"/>
    <x v="1"/>
  </r>
  <r>
    <s v="MI"/>
    <x v="143"/>
    <s v="area_code_415"/>
    <x v="1"/>
    <x v="0"/>
    <n v="26"/>
    <n v="217.2"/>
    <n v="138"/>
    <n v="36.92"/>
    <n v="145.5"/>
    <n v="111"/>
    <n v="12.37"/>
    <n v="280.7"/>
    <n v="76"/>
    <n v="12.63"/>
    <x v="38"/>
    <x v="0"/>
    <x v="38"/>
    <x v="1"/>
    <x v="0"/>
  </r>
  <r>
    <s v="NM"/>
    <x v="62"/>
    <s v="area_code_510"/>
    <x v="0"/>
    <x v="1"/>
    <n v="0"/>
    <n v="206.3"/>
    <n v="97"/>
    <n v="35.07"/>
    <n v="154.9"/>
    <n v="98"/>
    <n v="13.17"/>
    <n v="263.60000000000002"/>
    <n v="82"/>
    <n v="11.86"/>
    <x v="70"/>
    <x v="14"/>
    <x v="70"/>
    <x v="1"/>
    <x v="0"/>
  </r>
  <r>
    <s v="AK"/>
    <x v="70"/>
    <s v="area_code_415"/>
    <x v="0"/>
    <x v="1"/>
    <n v="0"/>
    <n v="159.30000000000001"/>
    <n v="66"/>
    <n v="27.08"/>
    <n v="125.9"/>
    <n v="75"/>
    <n v="10.7"/>
    <n v="261.89999999999998"/>
    <n v="76"/>
    <n v="11.79"/>
    <x v="22"/>
    <x v="1"/>
    <x v="22"/>
    <x v="0"/>
    <x v="0"/>
  </r>
  <r>
    <s v="OH"/>
    <x v="27"/>
    <s v="area_code_415"/>
    <x v="0"/>
    <x v="0"/>
    <n v="31"/>
    <n v="143.1"/>
    <n v="88"/>
    <n v="24.33"/>
    <n v="236.6"/>
    <n v="65"/>
    <n v="20.11"/>
    <n v="227.8"/>
    <n v="120"/>
    <n v="10.25"/>
    <x v="37"/>
    <x v="1"/>
    <x v="37"/>
    <x v="2"/>
    <x v="0"/>
  </r>
  <r>
    <s v="MO"/>
    <x v="73"/>
    <s v="area_code_415"/>
    <x v="0"/>
    <x v="1"/>
    <n v="0"/>
    <n v="154"/>
    <n v="122"/>
    <n v="26.18"/>
    <n v="329.8"/>
    <n v="88"/>
    <n v="28.03"/>
    <n v="288"/>
    <n v="117"/>
    <n v="12.96"/>
    <x v="113"/>
    <x v="5"/>
    <x v="113"/>
    <x v="3"/>
    <x v="1"/>
  </r>
  <r>
    <s v="KS"/>
    <x v="118"/>
    <s v="area_code_408"/>
    <x v="0"/>
    <x v="0"/>
    <n v="24"/>
    <n v="186.6"/>
    <n v="69"/>
    <n v="31.72"/>
    <n v="222"/>
    <n v="116"/>
    <n v="18.87"/>
    <n v="234.9"/>
    <n v="138"/>
    <n v="10.57"/>
    <x v="43"/>
    <x v="1"/>
    <x v="43"/>
    <x v="0"/>
    <x v="0"/>
  </r>
  <r>
    <s v="MS"/>
    <x v="98"/>
    <s v="area_code_415"/>
    <x v="0"/>
    <x v="0"/>
    <n v="26"/>
    <n v="170.8"/>
    <n v="114"/>
    <n v="29.04"/>
    <n v="199.5"/>
    <n v="125"/>
    <n v="16.96"/>
    <n v="169.7"/>
    <n v="98"/>
    <n v="7.64"/>
    <x v="63"/>
    <x v="1"/>
    <x v="63"/>
    <x v="5"/>
    <x v="1"/>
  </r>
  <r>
    <s v="VT"/>
    <x v="71"/>
    <s v="area_code_408"/>
    <x v="0"/>
    <x v="0"/>
    <n v="17"/>
    <n v="124"/>
    <n v="102"/>
    <n v="21.08"/>
    <n v="202.9"/>
    <n v="81"/>
    <n v="17.25"/>
    <n v="205.1"/>
    <n v="129"/>
    <n v="9.23"/>
    <x v="10"/>
    <x v="0"/>
    <x v="10"/>
    <x v="0"/>
    <x v="0"/>
  </r>
  <r>
    <s v="NE"/>
    <x v="15"/>
    <s v="area_code_415"/>
    <x v="0"/>
    <x v="1"/>
    <n v="0"/>
    <n v="198.3"/>
    <n v="94"/>
    <n v="33.71"/>
    <n v="279.3"/>
    <n v="101"/>
    <n v="23.74"/>
    <n v="146.19999999999999"/>
    <n v="87"/>
    <n v="6.58"/>
    <x v="102"/>
    <x v="10"/>
    <x v="102"/>
    <x v="3"/>
    <x v="0"/>
  </r>
  <r>
    <s v="VA"/>
    <x v="86"/>
    <s v="area_code_408"/>
    <x v="0"/>
    <x v="1"/>
    <n v="0"/>
    <n v="172.8"/>
    <n v="101"/>
    <n v="29.38"/>
    <n v="204.8"/>
    <n v="97"/>
    <n v="17.41"/>
    <n v="240.8"/>
    <n v="90"/>
    <n v="10.84"/>
    <x v="9"/>
    <x v="10"/>
    <x v="9"/>
    <x v="2"/>
    <x v="0"/>
  </r>
  <r>
    <s v="DE"/>
    <x v="150"/>
    <s v="area_code_415"/>
    <x v="0"/>
    <x v="0"/>
    <n v="30"/>
    <n v="217.4"/>
    <n v="74"/>
    <n v="36.96"/>
    <n v="213.8"/>
    <n v="86"/>
    <n v="18.170000000000002"/>
    <n v="227.2"/>
    <n v="104"/>
    <n v="10.220000000000001"/>
    <x v="2"/>
    <x v="0"/>
    <x v="2"/>
    <x v="1"/>
    <x v="0"/>
  </r>
  <r>
    <s v="AL"/>
    <x v="37"/>
    <s v="area_code_408"/>
    <x v="1"/>
    <x v="0"/>
    <n v="29"/>
    <n v="265.89999999999998"/>
    <n v="113"/>
    <n v="45.2"/>
    <n v="215.8"/>
    <n v="94"/>
    <n v="18.34"/>
    <n v="108.1"/>
    <n v="82"/>
    <n v="4.8600000000000003"/>
    <x v="100"/>
    <x v="14"/>
    <x v="100"/>
    <x v="1"/>
    <x v="1"/>
  </r>
  <r>
    <s v="MS"/>
    <x v="39"/>
    <s v="area_code_510"/>
    <x v="0"/>
    <x v="1"/>
    <n v="0"/>
    <n v="98.2"/>
    <n v="100"/>
    <n v="16.690000000000001"/>
    <n v="307.2"/>
    <n v="88"/>
    <n v="26.11"/>
    <n v="182.5"/>
    <n v="120"/>
    <n v="8.2100000000000009"/>
    <x v="98"/>
    <x v="8"/>
    <x v="98"/>
    <x v="2"/>
    <x v="0"/>
  </r>
  <r>
    <s v="OK"/>
    <x v="36"/>
    <s v="area_code_408"/>
    <x v="0"/>
    <x v="1"/>
    <n v="0"/>
    <n v="214.7"/>
    <n v="68"/>
    <n v="36.5"/>
    <n v="158.6"/>
    <n v="138"/>
    <n v="13.48"/>
    <n v="123.4"/>
    <n v="114"/>
    <n v="5.55"/>
    <x v="27"/>
    <x v="4"/>
    <x v="27"/>
    <x v="2"/>
    <x v="0"/>
  </r>
  <r>
    <s v="NM"/>
    <x v="137"/>
    <s v="area_code_415"/>
    <x v="0"/>
    <x v="1"/>
    <n v="0"/>
    <n v="168.2"/>
    <n v="92"/>
    <n v="28.59"/>
    <n v="224.7"/>
    <n v="100"/>
    <n v="19.100000000000001"/>
    <n v="169.5"/>
    <n v="99"/>
    <n v="7.63"/>
    <x v="89"/>
    <x v="0"/>
    <x v="89"/>
    <x v="0"/>
    <x v="0"/>
  </r>
  <r>
    <s v="WI"/>
    <x v="70"/>
    <s v="area_code_408"/>
    <x v="0"/>
    <x v="1"/>
    <n v="0"/>
    <n v="202.9"/>
    <n v="97"/>
    <n v="34.49"/>
    <n v="153.80000000000001"/>
    <n v="104"/>
    <n v="13.07"/>
    <n v="113.5"/>
    <n v="92"/>
    <n v="5.1100000000000003"/>
    <x v="62"/>
    <x v="0"/>
    <x v="62"/>
    <x v="3"/>
    <x v="0"/>
  </r>
  <r>
    <s v="WV"/>
    <x v="126"/>
    <s v="area_code_415"/>
    <x v="0"/>
    <x v="1"/>
    <n v="0"/>
    <n v="261.39999999999998"/>
    <n v="108"/>
    <n v="44.44"/>
    <n v="154.5"/>
    <n v="102"/>
    <n v="13.13"/>
    <n v="130.9"/>
    <n v="90"/>
    <n v="5.89"/>
    <x v="43"/>
    <x v="5"/>
    <x v="43"/>
    <x v="0"/>
    <x v="0"/>
  </r>
  <r>
    <s v="SC"/>
    <x v="105"/>
    <s v="area_code_510"/>
    <x v="0"/>
    <x v="1"/>
    <n v="0"/>
    <n v="73.3"/>
    <n v="86"/>
    <n v="12.46"/>
    <n v="161.4"/>
    <n v="82"/>
    <n v="13.72"/>
    <n v="239.6"/>
    <n v="76"/>
    <n v="10.78"/>
    <x v="45"/>
    <x v="0"/>
    <x v="45"/>
    <x v="4"/>
    <x v="1"/>
  </r>
  <r>
    <s v="KY"/>
    <x v="66"/>
    <s v="area_code_408"/>
    <x v="0"/>
    <x v="0"/>
    <n v="27"/>
    <n v="253.7"/>
    <n v="84"/>
    <n v="43.13"/>
    <n v="229.2"/>
    <n v="109"/>
    <n v="19.48"/>
    <n v="190.5"/>
    <n v="123"/>
    <n v="8.57"/>
    <x v="29"/>
    <x v="1"/>
    <x v="29"/>
    <x v="6"/>
    <x v="0"/>
  </r>
  <r>
    <s v="MO"/>
    <x v="72"/>
    <s v="area_code_408"/>
    <x v="0"/>
    <x v="1"/>
    <n v="0"/>
    <n v="45"/>
    <n v="108"/>
    <n v="7.65"/>
    <n v="151.30000000000001"/>
    <n v="74"/>
    <n v="12.86"/>
    <n v="152.9"/>
    <n v="94"/>
    <n v="6.88"/>
    <x v="52"/>
    <x v="3"/>
    <x v="52"/>
    <x v="2"/>
    <x v="0"/>
  </r>
  <r>
    <s v="IL"/>
    <x v="137"/>
    <s v="area_code_510"/>
    <x v="0"/>
    <x v="1"/>
    <n v="0"/>
    <n v="231.3"/>
    <n v="105"/>
    <n v="39.32"/>
    <n v="171.7"/>
    <n v="108"/>
    <n v="14.59"/>
    <n v="67.7"/>
    <n v="136"/>
    <n v="3.05"/>
    <x v="14"/>
    <x v="3"/>
    <x v="14"/>
    <x v="0"/>
    <x v="0"/>
  </r>
  <r>
    <s v="MI"/>
    <x v="150"/>
    <s v="area_code_510"/>
    <x v="0"/>
    <x v="1"/>
    <n v="0"/>
    <n v="227.4"/>
    <n v="88"/>
    <n v="38.659999999999997"/>
    <n v="182.5"/>
    <n v="100"/>
    <n v="15.51"/>
    <n v="191.7"/>
    <n v="134"/>
    <n v="8.6300000000000008"/>
    <x v="60"/>
    <x v="0"/>
    <x v="60"/>
    <x v="1"/>
    <x v="0"/>
  </r>
  <r>
    <s v="NJ"/>
    <x v="11"/>
    <s v="area_code_415"/>
    <x v="0"/>
    <x v="0"/>
    <n v="22"/>
    <n v="40.9"/>
    <n v="126"/>
    <n v="6.95"/>
    <n v="133.4"/>
    <n v="90"/>
    <n v="11.34"/>
    <n v="264.2"/>
    <n v="91"/>
    <n v="11.89"/>
    <x v="78"/>
    <x v="2"/>
    <x v="78"/>
    <x v="1"/>
    <x v="0"/>
  </r>
  <r>
    <s v="ID"/>
    <x v="57"/>
    <s v="area_code_415"/>
    <x v="0"/>
    <x v="1"/>
    <n v="0"/>
    <n v="124.8"/>
    <n v="133"/>
    <n v="21.22"/>
    <n v="157.30000000000001"/>
    <n v="143"/>
    <n v="13.37"/>
    <n v="199.3"/>
    <n v="72"/>
    <n v="8.9700000000000006"/>
    <x v="53"/>
    <x v="4"/>
    <x v="53"/>
    <x v="2"/>
    <x v="0"/>
  </r>
  <r>
    <s v="DC"/>
    <x v="108"/>
    <s v="area_code_510"/>
    <x v="1"/>
    <x v="1"/>
    <n v="0"/>
    <n v="68.5"/>
    <n v="110"/>
    <n v="11.65"/>
    <n v="337.1"/>
    <n v="115"/>
    <n v="28.65"/>
    <n v="205.2"/>
    <n v="99"/>
    <n v="9.23"/>
    <x v="47"/>
    <x v="6"/>
    <x v="47"/>
    <x v="1"/>
    <x v="0"/>
  </r>
  <r>
    <s v="AL"/>
    <x v="16"/>
    <s v="area_code_415"/>
    <x v="0"/>
    <x v="1"/>
    <n v="0"/>
    <n v="163"/>
    <n v="112"/>
    <n v="27.71"/>
    <n v="219.1"/>
    <n v="89"/>
    <n v="18.62"/>
    <n v="233.4"/>
    <n v="66"/>
    <n v="10.5"/>
    <x v="92"/>
    <x v="0"/>
    <x v="92"/>
    <x v="2"/>
    <x v="0"/>
  </r>
  <r>
    <s v="OR"/>
    <x v="28"/>
    <s v="area_code_415"/>
    <x v="0"/>
    <x v="0"/>
    <n v="38"/>
    <n v="213.7"/>
    <n v="61"/>
    <n v="36.33"/>
    <n v="253"/>
    <n v="104"/>
    <n v="21.51"/>
    <n v="207.7"/>
    <n v="73"/>
    <n v="9.35"/>
    <x v="85"/>
    <x v="1"/>
    <x v="85"/>
    <x v="2"/>
    <x v="0"/>
  </r>
  <r>
    <s v="OK"/>
    <x v="41"/>
    <s v="area_code_415"/>
    <x v="0"/>
    <x v="0"/>
    <n v="36"/>
    <n v="201.3"/>
    <n v="117"/>
    <n v="34.22"/>
    <n v="42.2"/>
    <n v="78"/>
    <n v="3.59"/>
    <n v="125.7"/>
    <n v="104"/>
    <n v="5.66"/>
    <x v="11"/>
    <x v="0"/>
    <x v="11"/>
    <x v="0"/>
    <x v="0"/>
  </r>
  <r>
    <s v="NE"/>
    <x v="136"/>
    <s v="area_code_408"/>
    <x v="0"/>
    <x v="1"/>
    <n v="0"/>
    <n v="48.4"/>
    <n v="101"/>
    <n v="8.23"/>
    <n v="281.10000000000002"/>
    <n v="138"/>
    <n v="23.89"/>
    <n v="218.5"/>
    <n v="87"/>
    <n v="9.83"/>
    <x v="114"/>
    <x v="8"/>
    <x v="114"/>
    <x v="0"/>
    <x v="0"/>
  </r>
  <r>
    <s v="UT"/>
    <x v="151"/>
    <s v="area_code_415"/>
    <x v="0"/>
    <x v="0"/>
    <n v="22"/>
    <n v="166.5"/>
    <n v="93"/>
    <n v="28.31"/>
    <n v="183"/>
    <n v="92"/>
    <n v="15.56"/>
    <n v="121"/>
    <n v="102"/>
    <n v="5.44"/>
    <x v="31"/>
    <x v="0"/>
    <x v="31"/>
    <x v="1"/>
    <x v="0"/>
  </r>
  <r>
    <s v="OR"/>
    <x v="148"/>
    <s v="area_code_415"/>
    <x v="0"/>
    <x v="1"/>
    <n v="0"/>
    <n v="216.6"/>
    <n v="126"/>
    <n v="36.82"/>
    <n v="190.8"/>
    <n v="104"/>
    <n v="16.22"/>
    <n v="224.7"/>
    <n v="123"/>
    <n v="10.11"/>
    <x v="70"/>
    <x v="10"/>
    <x v="70"/>
    <x v="1"/>
    <x v="0"/>
  </r>
  <r>
    <s v="NY"/>
    <x v="33"/>
    <s v="area_code_408"/>
    <x v="0"/>
    <x v="1"/>
    <n v="0"/>
    <n v="107.8"/>
    <n v="113"/>
    <n v="18.329999999999998"/>
    <n v="216.6"/>
    <n v="125"/>
    <n v="18.41"/>
    <n v="217.5"/>
    <n v="92"/>
    <n v="9.7899999999999991"/>
    <x v="79"/>
    <x v="0"/>
    <x v="79"/>
    <x v="2"/>
    <x v="0"/>
  </r>
  <r>
    <s v="AL"/>
    <x v="152"/>
    <s v="area_code_408"/>
    <x v="0"/>
    <x v="0"/>
    <n v="28"/>
    <n v="141.30000000000001"/>
    <n v="94"/>
    <n v="24.02"/>
    <n v="168"/>
    <n v="108"/>
    <n v="14.28"/>
    <n v="113.5"/>
    <n v="84"/>
    <n v="5.1100000000000003"/>
    <x v="35"/>
    <x v="5"/>
    <x v="35"/>
    <x v="0"/>
    <x v="0"/>
  </r>
  <r>
    <s v="RI"/>
    <x v="50"/>
    <s v="area_code_415"/>
    <x v="0"/>
    <x v="0"/>
    <n v="29"/>
    <n v="209.9"/>
    <n v="77"/>
    <n v="35.68"/>
    <n v="158"/>
    <n v="52"/>
    <n v="13.43"/>
    <n v="141.9"/>
    <n v="113"/>
    <n v="6.39"/>
    <x v="2"/>
    <x v="8"/>
    <x v="2"/>
    <x v="1"/>
    <x v="0"/>
  </r>
  <r>
    <s v="MN"/>
    <x v="153"/>
    <s v="area_code_415"/>
    <x v="1"/>
    <x v="0"/>
    <n v="20"/>
    <n v="237.5"/>
    <n v="120"/>
    <n v="40.380000000000003"/>
    <n v="253.4"/>
    <n v="94"/>
    <n v="21.54"/>
    <n v="265.2"/>
    <n v="80"/>
    <n v="11.93"/>
    <x v="66"/>
    <x v="0"/>
    <x v="66"/>
    <x v="7"/>
    <x v="1"/>
  </r>
  <r>
    <s v="NC"/>
    <x v="154"/>
    <s v="area_code_415"/>
    <x v="0"/>
    <x v="1"/>
    <n v="0"/>
    <n v="234.5"/>
    <n v="109"/>
    <n v="39.869999999999997"/>
    <n v="216.5"/>
    <n v="129"/>
    <n v="18.399999999999999"/>
    <n v="191.6"/>
    <n v="94"/>
    <n v="8.6199999999999992"/>
    <x v="30"/>
    <x v="3"/>
    <x v="30"/>
    <x v="3"/>
    <x v="0"/>
  </r>
  <r>
    <s v="MD"/>
    <x v="134"/>
    <s v="area_code_510"/>
    <x v="0"/>
    <x v="0"/>
    <n v="31"/>
    <n v="103.1"/>
    <n v="90"/>
    <n v="17.53"/>
    <n v="243"/>
    <n v="135"/>
    <n v="20.66"/>
    <n v="76.400000000000006"/>
    <n v="92"/>
    <n v="3.44"/>
    <x v="1"/>
    <x v="10"/>
    <x v="1"/>
    <x v="3"/>
    <x v="0"/>
  </r>
  <r>
    <s v="RI"/>
    <x v="11"/>
    <s v="area_code_510"/>
    <x v="0"/>
    <x v="0"/>
    <n v="27"/>
    <n v="129.5"/>
    <n v="106"/>
    <n v="22.02"/>
    <n v="248.9"/>
    <n v="90"/>
    <n v="21.16"/>
    <n v="268"/>
    <n v="115"/>
    <n v="12.06"/>
    <x v="78"/>
    <x v="0"/>
    <x v="78"/>
    <x v="0"/>
    <x v="0"/>
  </r>
  <r>
    <s v="WI"/>
    <x v="155"/>
    <s v="area_code_510"/>
    <x v="1"/>
    <x v="1"/>
    <n v="0"/>
    <n v="279.8"/>
    <n v="90"/>
    <n v="47.57"/>
    <n v="248.7"/>
    <n v="91"/>
    <n v="21.14"/>
    <n v="171"/>
    <n v="118"/>
    <n v="7.69"/>
    <x v="80"/>
    <x v="11"/>
    <x v="80"/>
    <x v="2"/>
    <x v="1"/>
  </r>
  <r>
    <s v="VT"/>
    <x v="11"/>
    <s v="area_code_510"/>
    <x v="1"/>
    <x v="0"/>
    <n v="41"/>
    <n v="136.80000000000001"/>
    <n v="91"/>
    <n v="23.26"/>
    <n v="200.8"/>
    <n v="61"/>
    <n v="17.07"/>
    <n v="133.69999999999999"/>
    <n v="67"/>
    <n v="6.02"/>
    <x v="19"/>
    <x v="6"/>
    <x v="19"/>
    <x v="5"/>
    <x v="1"/>
  </r>
  <r>
    <s v="CT"/>
    <x v="156"/>
    <s v="area_code_415"/>
    <x v="0"/>
    <x v="0"/>
    <n v="31"/>
    <n v="100.1"/>
    <n v="54"/>
    <n v="17.02"/>
    <n v="246.3"/>
    <n v="97"/>
    <n v="20.94"/>
    <n v="255"/>
    <n v="131"/>
    <n v="11.48"/>
    <x v="96"/>
    <x v="0"/>
    <x v="96"/>
    <x v="1"/>
    <x v="0"/>
  </r>
  <r>
    <s v="OK"/>
    <x v="4"/>
    <s v="area_code_408"/>
    <x v="0"/>
    <x v="0"/>
    <n v="31"/>
    <n v="237.1"/>
    <n v="63"/>
    <n v="40.31"/>
    <n v="205.6"/>
    <n v="117"/>
    <n v="17.48"/>
    <n v="196.7"/>
    <n v="85"/>
    <n v="8.85"/>
    <x v="3"/>
    <x v="1"/>
    <x v="3"/>
    <x v="4"/>
    <x v="0"/>
  </r>
  <r>
    <s v="GA"/>
    <x v="133"/>
    <s v="area_code_510"/>
    <x v="0"/>
    <x v="1"/>
    <n v="0"/>
    <n v="288.10000000000002"/>
    <n v="112"/>
    <n v="48.98"/>
    <n v="258"/>
    <n v="92"/>
    <n v="21.93"/>
    <n v="192.4"/>
    <n v="90"/>
    <n v="8.66"/>
    <x v="39"/>
    <x v="4"/>
    <x v="39"/>
    <x v="3"/>
    <x v="1"/>
  </r>
  <r>
    <s v="NE"/>
    <x v="9"/>
    <s v="area_code_415"/>
    <x v="0"/>
    <x v="0"/>
    <n v="25"/>
    <n v="194.6"/>
    <n v="84"/>
    <n v="33.08"/>
    <n v="119.9"/>
    <n v="103"/>
    <n v="10.19"/>
    <n v="175.5"/>
    <n v="75"/>
    <n v="7.9"/>
    <x v="67"/>
    <x v="5"/>
    <x v="67"/>
    <x v="2"/>
    <x v="0"/>
  </r>
  <r>
    <s v="TX"/>
    <x v="142"/>
    <s v="area_code_408"/>
    <x v="0"/>
    <x v="0"/>
    <n v="20"/>
    <n v="194.5"/>
    <n v="110"/>
    <n v="33.07"/>
    <n v="213.7"/>
    <n v="89"/>
    <n v="18.16"/>
    <n v="236.6"/>
    <n v="92"/>
    <n v="10.65"/>
    <x v="17"/>
    <x v="5"/>
    <x v="17"/>
    <x v="0"/>
    <x v="0"/>
  </r>
  <r>
    <s v="MT"/>
    <x v="9"/>
    <s v="area_code_408"/>
    <x v="0"/>
    <x v="1"/>
    <n v="0"/>
    <n v="174.1"/>
    <n v="96"/>
    <n v="29.6"/>
    <n v="251.1"/>
    <n v="94"/>
    <n v="21.34"/>
    <n v="257.60000000000002"/>
    <n v="123"/>
    <n v="11.59"/>
    <x v="24"/>
    <x v="1"/>
    <x v="24"/>
    <x v="2"/>
    <x v="1"/>
  </r>
  <r>
    <s v="CO"/>
    <x v="41"/>
    <s v="area_code_415"/>
    <x v="0"/>
    <x v="1"/>
    <n v="0"/>
    <n v="131.80000000000001"/>
    <n v="97"/>
    <n v="22.41"/>
    <n v="136.69999999999999"/>
    <n v="100"/>
    <n v="11.62"/>
    <n v="308.2"/>
    <n v="119"/>
    <n v="13.87"/>
    <x v="18"/>
    <x v="3"/>
    <x v="18"/>
    <x v="2"/>
    <x v="0"/>
  </r>
  <r>
    <s v="VT"/>
    <x v="62"/>
    <s v="area_code_415"/>
    <x v="0"/>
    <x v="1"/>
    <n v="0"/>
    <n v="160.6"/>
    <n v="103"/>
    <n v="27.3"/>
    <n v="237"/>
    <n v="109"/>
    <n v="20.149999999999999"/>
    <n v="245.1"/>
    <n v="88"/>
    <n v="11.03"/>
    <x v="85"/>
    <x v="8"/>
    <x v="85"/>
    <x v="0"/>
    <x v="0"/>
  </r>
  <r>
    <s v="WY"/>
    <x v="63"/>
    <s v="area_code_408"/>
    <x v="0"/>
    <x v="0"/>
    <n v="28"/>
    <n v="200.7"/>
    <n v="88"/>
    <n v="34.119999999999997"/>
    <n v="264.2"/>
    <n v="116"/>
    <n v="22.46"/>
    <n v="172.7"/>
    <n v="102"/>
    <n v="7.77"/>
    <x v="9"/>
    <x v="1"/>
    <x v="9"/>
    <x v="0"/>
    <x v="0"/>
  </r>
  <r>
    <s v="ID"/>
    <x v="63"/>
    <s v="area_code_415"/>
    <x v="0"/>
    <x v="1"/>
    <n v="0"/>
    <n v="145.6"/>
    <n v="106"/>
    <n v="24.75"/>
    <n v="98.3"/>
    <n v="106"/>
    <n v="8.36"/>
    <n v="230.8"/>
    <n v="83"/>
    <n v="10.39"/>
    <x v="54"/>
    <x v="1"/>
    <x v="54"/>
    <x v="0"/>
    <x v="0"/>
  </r>
  <r>
    <s v="CT"/>
    <x v="103"/>
    <s v="area_code_415"/>
    <x v="0"/>
    <x v="0"/>
    <n v="29"/>
    <n v="229.4"/>
    <n v="104"/>
    <n v="39"/>
    <n v="257.39999999999998"/>
    <n v="84"/>
    <n v="21.88"/>
    <n v="231.5"/>
    <n v="119"/>
    <n v="10.42"/>
    <x v="40"/>
    <x v="8"/>
    <x v="40"/>
    <x v="2"/>
    <x v="0"/>
  </r>
  <r>
    <s v="ME"/>
    <x v="35"/>
    <s v="area_code_510"/>
    <x v="0"/>
    <x v="1"/>
    <n v="0"/>
    <n v="211"/>
    <n v="76"/>
    <n v="35.869999999999997"/>
    <n v="189"/>
    <n v="100"/>
    <n v="16.07"/>
    <n v="123"/>
    <n v="102"/>
    <n v="5.54"/>
    <x v="86"/>
    <x v="4"/>
    <x v="86"/>
    <x v="3"/>
    <x v="0"/>
  </r>
  <r>
    <s v="AZ"/>
    <x v="3"/>
    <s v="area_code_510"/>
    <x v="0"/>
    <x v="0"/>
    <n v="37"/>
    <n v="121.5"/>
    <n v="97"/>
    <n v="20.66"/>
    <n v="271.39999999999998"/>
    <n v="110"/>
    <n v="23.07"/>
    <n v="248.7"/>
    <n v="97"/>
    <n v="11.19"/>
    <x v="61"/>
    <x v="1"/>
    <x v="61"/>
    <x v="2"/>
    <x v="0"/>
  </r>
  <r>
    <s v="MD"/>
    <x v="13"/>
    <s v="area_code_510"/>
    <x v="1"/>
    <x v="1"/>
    <n v="0"/>
    <n v="216"/>
    <n v="73"/>
    <n v="36.72"/>
    <n v="188.2"/>
    <n v="117"/>
    <n v="16"/>
    <n v="147.1"/>
    <n v="98"/>
    <n v="6.62"/>
    <x v="115"/>
    <x v="2"/>
    <x v="115"/>
    <x v="2"/>
    <x v="0"/>
  </r>
  <r>
    <s v="IN"/>
    <x v="65"/>
    <s v="area_code_510"/>
    <x v="0"/>
    <x v="1"/>
    <n v="0"/>
    <n v="293"/>
    <n v="88"/>
    <n v="49.81"/>
    <n v="160.6"/>
    <n v="101"/>
    <n v="13.65"/>
    <n v="143.9"/>
    <n v="87"/>
    <n v="6.48"/>
    <x v="13"/>
    <x v="3"/>
    <x v="13"/>
    <x v="2"/>
    <x v="0"/>
  </r>
  <r>
    <s v="DE"/>
    <x v="97"/>
    <s v="area_code_510"/>
    <x v="0"/>
    <x v="1"/>
    <n v="0"/>
    <n v="181.5"/>
    <n v="108"/>
    <n v="30.86"/>
    <n v="196.9"/>
    <n v="87"/>
    <n v="16.739999999999998"/>
    <n v="187.2"/>
    <n v="119"/>
    <n v="8.42"/>
    <x v="19"/>
    <x v="5"/>
    <x v="19"/>
    <x v="0"/>
    <x v="0"/>
  </r>
  <r>
    <s v="MN"/>
    <x v="157"/>
    <s v="area_code_415"/>
    <x v="0"/>
    <x v="0"/>
    <n v="26"/>
    <n v="74.3"/>
    <n v="107"/>
    <n v="12.63"/>
    <n v="177.3"/>
    <n v="116"/>
    <n v="15.07"/>
    <n v="296.3"/>
    <n v="90"/>
    <n v="13.33"/>
    <x v="25"/>
    <x v="0"/>
    <x v="25"/>
    <x v="2"/>
    <x v="0"/>
  </r>
  <r>
    <s v="WI"/>
    <x v="133"/>
    <s v="area_code_415"/>
    <x v="1"/>
    <x v="1"/>
    <n v="0"/>
    <n v="62.3"/>
    <n v="92"/>
    <n v="10.59"/>
    <n v="275"/>
    <n v="82"/>
    <n v="23.38"/>
    <n v="138.69999999999999"/>
    <n v="108"/>
    <n v="6.24"/>
    <x v="81"/>
    <x v="0"/>
    <x v="81"/>
    <x v="0"/>
    <x v="0"/>
  </r>
  <r>
    <s v="FL"/>
    <x v="32"/>
    <s v="area_code_408"/>
    <x v="0"/>
    <x v="0"/>
    <n v="31"/>
    <n v="228.6"/>
    <n v="88"/>
    <n v="38.86"/>
    <n v="248.5"/>
    <n v="109"/>
    <n v="21.12"/>
    <n v="167.1"/>
    <n v="124"/>
    <n v="7.52"/>
    <x v="62"/>
    <x v="8"/>
    <x v="62"/>
    <x v="3"/>
    <x v="0"/>
  </r>
  <r>
    <s v="WV"/>
    <x v="133"/>
    <s v="area_code_510"/>
    <x v="0"/>
    <x v="1"/>
    <n v="0"/>
    <n v="228.1"/>
    <n v="121"/>
    <n v="38.78"/>
    <n v="276.5"/>
    <n v="79"/>
    <n v="23.5"/>
    <n v="279.8"/>
    <n v="77"/>
    <n v="12.59"/>
    <x v="79"/>
    <x v="1"/>
    <x v="79"/>
    <x v="2"/>
    <x v="1"/>
  </r>
  <r>
    <s v="SD"/>
    <x v="113"/>
    <s v="area_code_415"/>
    <x v="0"/>
    <x v="0"/>
    <n v="36"/>
    <n v="309.89999999999998"/>
    <n v="90"/>
    <n v="52.68"/>
    <n v="200.3"/>
    <n v="89"/>
    <n v="17.03"/>
    <n v="183.5"/>
    <n v="105"/>
    <n v="8.26"/>
    <x v="66"/>
    <x v="5"/>
    <x v="66"/>
    <x v="0"/>
    <x v="0"/>
  </r>
  <r>
    <s v="OR"/>
    <x v="77"/>
    <s v="area_code_408"/>
    <x v="0"/>
    <x v="1"/>
    <n v="0"/>
    <n v="149.80000000000001"/>
    <n v="112"/>
    <n v="25.47"/>
    <n v="180"/>
    <n v="93"/>
    <n v="15.3"/>
    <n v="140"/>
    <n v="119"/>
    <n v="6.3"/>
    <x v="50"/>
    <x v="4"/>
    <x v="50"/>
    <x v="2"/>
    <x v="0"/>
  </r>
  <r>
    <s v="CO"/>
    <x v="53"/>
    <s v="area_code_408"/>
    <x v="0"/>
    <x v="0"/>
    <n v="30"/>
    <n v="183.8"/>
    <n v="76"/>
    <n v="31.25"/>
    <n v="229.7"/>
    <n v="95"/>
    <n v="19.52"/>
    <n v="144.1"/>
    <n v="124"/>
    <n v="6.48"/>
    <x v="18"/>
    <x v="0"/>
    <x v="18"/>
    <x v="0"/>
    <x v="0"/>
  </r>
  <r>
    <s v="CT"/>
    <x v="145"/>
    <s v="area_code_408"/>
    <x v="0"/>
    <x v="0"/>
    <n v="21"/>
    <n v="186.7"/>
    <n v="108"/>
    <n v="31.74"/>
    <n v="335"/>
    <n v="86"/>
    <n v="28.48"/>
    <n v="187.2"/>
    <n v="119"/>
    <n v="8.42"/>
    <x v="116"/>
    <x v="4"/>
    <x v="116"/>
    <x v="0"/>
    <x v="0"/>
  </r>
  <r>
    <s v="IN"/>
    <x v="48"/>
    <s v="area_code_415"/>
    <x v="0"/>
    <x v="1"/>
    <n v="0"/>
    <n v="209.4"/>
    <n v="151"/>
    <n v="35.6"/>
    <n v="347.3"/>
    <n v="113"/>
    <n v="29.52"/>
    <n v="246"/>
    <n v="116"/>
    <n v="11.07"/>
    <x v="33"/>
    <x v="5"/>
    <x v="33"/>
    <x v="0"/>
    <x v="1"/>
  </r>
  <r>
    <s v="PA"/>
    <x v="158"/>
    <s v="area_code_415"/>
    <x v="0"/>
    <x v="0"/>
    <n v="25"/>
    <n v="223.2"/>
    <n v="77"/>
    <n v="37.94"/>
    <n v="183.2"/>
    <n v="118"/>
    <n v="15.57"/>
    <n v="150.80000000000001"/>
    <n v="90"/>
    <n v="6.79"/>
    <x v="39"/>
    <x v="0"/>
    <x v="39"/>
    <x v="3"/>
    <x v="0"/>
  </r>
  <r>
    <s v="NM"/>
    <x v="130"/>
    <s v="area_code_415"/>
    <x v="0"/>
    <x v="1"/>
    <n v="0"/>
    <n v="164.2"/>
    <n v="109"/>
    <n v="27.91"/>
    <n v="155.4"/>
    <n v="90"/>
    <n v="13.21"/>
    <n v="168.9"/>
    <n v="117"/>
    <n v="7.6"/>
    <x v="85"/>
    <x v="10"/>
    <x v="85"/>
    <x v="0"/>
    <x v="0"/>
  </r>
  <r>
    <s v="ME"/>
    <x v="148"/>
    <s v="area_code_408"/>
    <x v="0"/>
    <x v="1"/>
    <n v="0"/>
    <n v="150.5"/>
    <n v="75"/>
    <n v="25.59"/>
    <n v="193.1"/>
    <n v="93"/>
    <n v="16.41"/>
    <n v="311.60000000000002"/>
    <n v="93"/>
    <n v="14.02"/>
    <x v="19"/>
    <x v="5"/>
    <x v="19"/>
    <x v="0"/>
    <x v="0"/>
  </r>
  <r>
    <s v="SD"/>
    <x v="130"/>
    <s v="area_code_510"/>
    <x v="0"/>
    <x v="1"/>
    <n v="0"/>
    <n v="234.2"/>
    <n v="128"/>
    <n v="39.81"/>
    <n v="293.10000000000002"/>
    <n v="92"/>
    <n v="24.91"/>
    <n v="183.9"/>
    <n v="79"/>
    <n v="8.2799999999999994"/>
    <x v="52"/>
    <x v="3"/>
    <x v="52"/>
    <x v="1"/>
    <x v="1"/>
  </r>
  <r>
    <s v="AR"/>
    <x v="77"/>
    <s v="area_code_408"/>
    <x v="0"/>
    <x v="1"/>
    <n v="0"/>
    <n v="55.3"/>
    <n v="102"/>
    <n v="9.4"/>
    <n v="164.7"/>
    <n v="124"/>
    <n v="14"/>
    <n v="200.7"/>
    <n v="108"/>
    <n v="9.0299999999999994"/>
    <x v="39"/>
    <x v="1"/>
    <x v="39"/>
    <x v="0"/>
    <x v="0"/>
  </r>
  <r>
    <s v="TX"/>
    <x v="53"/>
    <s v="area_code_408"/>
    <x v="1"/>
    <x v="1"/>
    <n v="0"/>
    <n v="221.8"/>
    <n v="97"/>
    <n v="37.71"/>
    <n v="203.8"/>
    <n v="134"/>
    <n v="17.32"/>
    <n v="215.8"/>
    <n v="154"/>
    <n v="9.7100000000000009"/>
    <x v="80"/>
    <x v="4"/>
    <x v="80"/>
    <x v="0"/>
    <x v="0"/>
  </r>
  <r>
    <s v="NH"/>
    <x v="113"/>
    <s v="area_code_415"/>
    <x v="0"/>
    <x v="1"/>
    <n v="0"/>
    <n v="169.6"/>
    <n v="85"/>
    <n v="28.83"/>
    <n v="58.9"/>
    <n v="86"/>
    <n v="5.01"/>
    <n v="179.3"/>
    <n v="124"/>
    <n v="8.07"/>
    <x v="33"/>
    <x v="10"/>
    <x v="33"/>
    <x v="0"/>
    <x v="0"/>
  </r>
  <r>
    <s v="OK"/>
    <x v="116"/>
    <s v="area_code_408"/>
    <x v="0"/>
    <x v="1"/>
    <n v="0"/>
    <n v="89.7"/>
    <n v="118"/>
    <n v="15.25"/>
    <n v="260.10000000000002"/>
    <n v="79"/>
    <n v="22.11"/>
    <n v="170.1"/>
    <n v="93"/>
    <n v="7.65"/>
    <x v="88"/>
    <x v="12"/>
    <x v="88"/>
    <x v="5"/>
    <x v="1"/>
  </r>
  <r>
    <s v="WI"/>
    <x v="6"/>
    <s v="area_code_408"/>
    <x v="0"/>
    <x v="0"/>
    <n v="14"/>
    <n v="80.2"/>
    <n v="81"/>
    <n v="13.63"/>
    <n v="219"/>
    <n v="103"/>
    <n v="18.62"/>
    <n v="122.6"/>
    <n v="102"/>
    <n v="5.52"/>
    <x v="53"/>
    <x v="5"/>
    <x v="53"/>
    <x v="0"/>
    <x v="0"/>
  </r>
  <r>
    <s v="PA"/>
    <x v="55"/>
    <s v="area_code_408"/>
    <x v="0"/>
    <x v="1"/>
    <n v="0"/>
    <n v="125.7"/>
    <n v="96"/>
    <n v="21.37"/>
    <n v="207.6"/>
    <n v="137"/>
    <n v="17.649999999999999"/>
    <n v="183.1"/>
    <n v="103"/>
    <n v="8.24"/>
    <x v="89"/>
    <x v="5"/>
    <x v="89"/>
    <x v="0"/>
    <x v="0"/>
  </r>
  <r>
    <s v="OK"/>
    <x v="73"/>
    <s v="area_code_510"/>
    <x v="0"/>
    <x v="1"/>
    <n v="0"/>
    <n v="176.3"/>
    <n v="85"/>
    <n v="29.97"/>
    <n v="93.4"/>
    <n v="125"/>
    <n v="7.94"/>
    <n v="207.2"/>
    <n v="107"/>
    <n v="9.32"/>
    <x v="63"/>
    <x v="8"/>
    <x v="63"/>
    <x v="2"/>
    <x v="0"/>
  </r>
  <r>
    <s v="ME"/>
    <x v="55"/>
    <s v="area_code_510"/>
    <x v="0"/>
    <x v="0"/>
    <n v="29"/>
    <n v="207.2"/>
    <n v="111"/>
    <n v="35.22"/>
    <n v="254.1"/>
    <n v="137"/>
    <n v="21.6"/>
    <n v="169.3"/>
    <n v="92"/>
    <n v="7.62"/>
    <x v="17"/>
    <x v="1"/>
    <x v="17"/>
    <x v="2"/>
    <x v="0"/>
  </r>
  <r>
    <s v="WV"/>
    <x v="53"/>
    <s v="area_code_415"/>
    <x v="0"/>
    <x v="1"/>
    <n v="0"/>
    <n v="205.7"/>
    <n v="138"/>
    <n v="34.97"/>
    <n v="161.9"/>
    <n v="83"/>
    <n v="13.76"/>
    <n v="269.7"/>
    <n v="104"/>
    <n v="12.14"/>
    <x v="60"/>
    <x v="3"/>
    <x v="60"/>
    <x v="2"/>
    <x v="0"/>
  </r>
  <r>
    <s v="MN"/>
    <x v="146"/>
    <s v="area_code_510"/>
    <x v="0"/>
    <x v="1"/>
    <n v="0"/>
    <n v="157.5"/>
    <n v="70"/>
    <n v="26.78"/>
    <n v="130.69999999999999"/>
    <n v="79"/>
    <n v="11.11"/>
    <n v="193.4"/>
    <n v="98"/>
    <n v="8.6999999999999993"/>
    <x v="63"/>
    <x v="4"/>
    <x v="63"/>
    <x v="3"/>
    <x v="0"/>
  </r>
  <r>
    <s v="NY"/>
    <x v="129"/>
    <s v="area_code_408"/>
    <x v="0"/>
    <x v="1"/>
    <n v="0"/>
    <n v="160.4"/>
    <n v="68"/>
    <n v="27.27"/>
    <n v="102.6"/>
    <n v="103"/>
    <n v="8.7200000000000006"/>
    <n v="235.3"/>
    <n v="106"/>
    <n v="10.59"/>
    <x v="9"/>
    <x v="1"/>
    <x v="9"/>
    <x v="2"/>
    <x v="0"/>
  </r>
  <r>
    <s v="OH"/>
    <x v="3"/>
    <s v="area_code_510"/>
    <x v="0"/>
    <x v="0"/>
    <n v="46"/>
    <n v="214.1"/>
    <n v="62"/>
    <n v="36.4"/>
    <n v="200.9"/>
    <n v="111"/>
    <n v="17.079999999999998"/>
    <n v="246.8"/>
    <n v="126"/>
    <n v="11.11"/>
    <x v="29"/>
    <x v="3"/>
    <x v="29"/>
    <x v="1"/>
    <x v="0"/>
  </r>
  <r>
    <s v="MI"/>
    <x v="147"/>
    <s v="area_code_510"/>
    <x v="0"/>
    <x v="1"/>
    <n v="0"/>
    <n v="102.6"/>
    <n v="89"/>
    <n v="17.440000000000001"/>
    <n v="246"/>
    <n v="77"/>
    <n v="20.91"/>
    <n v="170.5"/>
    <n v="140"/>
    <n v="7.67"/>
    <x v="9"/>
    <x v="4"/>
    <x v="9"/>
    <x v="2"/>
    <x v="0"/>
  </r>
  <r>
    <s v="WV"/>
    <x v="118"/>
    <s v="area_code_510"/>
    <x v="0"/>
    <x v="1"/>
    <n v="0"/>
    <n v="202.8"/>
    <n v="109"/>
    <n v="34.479999999999997"/>
    <n v="165.8"/>
    <n v="104"/>
    <n v="14.09"/>
    <n v="143.9"/>
    <n v="71"/>
    <n v="6.48"/>
    <x v="117"/>
    <x v="4"/>
    <x v="117"/>
    <x v="0"/>
    <x v="0"/>
  </r>
  <r>
    <s v="MI"/>
    <x v="101"/>
    <s v="area_code_415"/>
    <x v="0"/>
    <x v="1"/>
    <n v="0"/>
    <n v="57.5"/>
    <n v="95"/>
    <n v="9.7799999999999994"/>
    <n v="265.5"/>
    <n v="131"/>
    <n v="22.57"/>
    <n v="244.3"/>
    <n v="128"/>
    <n v="10.99"/>
    <x v="43"/>
    <x v="3"/>
    <x v="43"/>
    <x v="3"/>
    <x v="0"/>
  </r>
  <r>
    <s v="NM"/>
    <x v="150"/>
    <s v="area_code_415"/>
    <x v="0"/>
    <x v="1"/>
    <n v="0"/>
    <n v="169.9"/>
    <n v="144"/>
    <n v="28.88"/>
    <n v="225.2"/>
    <n v="118"/>
    <n v="19.14"/>
    <n v="169.7"/>
    <n v="93"/>
    <n v="7.64"/>
    <x v="37"/>
    <x v="2"/>
    <x v="37"/>
    <x v="0"/>
    <x v="0"/>
  </r>
  <r>
    <s v="MO"/>
    <x v="126"/>
    <s v="area_code_415"/>
    <x v="0"/>
    <x v="1"/>
    <n v="0"/>
    <n v="335.5"/>
    <n v="77"/>
    <n v="57.04"/>
    <n v="212.5"/>
    <n v="109"/>
    <n v="18.059999999999999"/>
    <n v="265"/>
    <n v="132"/>
    <n v="11.93"/>
    <x v="8"/>
    <x v="10"/>
    <x v="8"/>
    <x v="2"/>
    <x v="1"/>
  </r>
  <r>
    <s v="RI"/>
    <x v="131"/>
    <s v="area_code_415"/>
    <x v="0"/>
    <x v="1"/>
    <n v="0"/>
    <n v="139.5"/>
    <n v="119"/>
    <n v="23.72"/>
    <n v="289.3"/>
    <n v="105"/>
    <n v="24.59"/>
    <n v="129.4"/>
    <n v="97"/>
    <n v="5.82"/>
    <x v="67"/>
    <x v="10"/>
    <x v="67"/>
    <x v="1"/>
    <x v="0"/>
  </r>
  <r>
    <s v="NC"/>
    <x v="69"/>
    <s v="area_code_415"/>
    <x v="0"/>
    <x v="0"/>
    <n v="29"/>
    <n v="142.30000000000001"/>
    <n v="107"/>
    <n v="24.19"/>
    <n v="118.7"/>
    <n v="56"/>
    <n v="10.09"/>
    <n v="240.1"/>
    <n v="91"/>
    <n v="10.8"/>
    <x v="2"/>
    <x v="10"/>
    <x v="2"/>
    <x v="0"/>
    <x v="0"/>
  </r>
  <r>
    <s v="WY"/>
    <x v="159"/>
    <s v="area_code_415"/>
    <x v="0"/>
    <x v="1"/>
    <n v="0"/>
    <n v="187.8"/>
    <n v="94"/>
    <n v="31.93"/>
    <n v="248.6"/>
    <n v="86"/>
    <n v="21.13"/>
    <n v="208.8"/>
    <n v="124"/>
    <n v="9.4"/>
    <x v="15"/>
    <x v="1"/>
    <x v="15"/>
    <x v="1"/>
    <x v="0"/>
  </r>
  <r>
    <s v="KY"/>
    <x v="53"/>
    <s v="area_code_415"/>
    <x v="0"/>
    <x v="1"/>
    <n v="0"/>
    <n v="193.7"/>
    <n v="83"/>
    <n v="32.93"/>
    <n v="154.19999999999999"/>
    <n v="79"/>
    <n v="13.11"/>
    <n v="299"/>
    <n v="60"/>
    <n v="13.46"/>
    <x v="8"/>
    <x v="0"/>
    <x v="8"/>
    <x v="0"/>
    <x v="0"/>
  </r>
  <r>
    <s v="OR"/>
    <x v="81"/>
    <s v="area_code_510"/>
    <x v="0"/>
    <x v="1"/>
    <n v="0"/>
    <n v="156.4"/>
    <n v="108"/>
    <n v="26.59"/>
    <n v="233.4"/>
    <n v="118"/>
    <n v="19.84"/>
    <n v="195.7"/>
    <n v="141"/>
    <n v="8.81"/>
    <x v="18"/>
    <x v="3"/>
    <x v="18"/>
    <x v="4"/>
    <x v="0"/>
  </r>
  <r>
    <s v="NV"/>
    <x v="102"/>
    <s v="area_code_415"/>
    <x v="1"/>
    <x v="0"/>
    <n v="29"/>
    <n v="220.7"/>
    <n v="82"/>
    <n v="37.520000000000003"/>
    <n v="217.7"/>
    <n v="110"/>
    <n v="18.5"/>
    <n v="190.5"/>
    <n v="100"/>
    <n v="8.57"/>
    <x v="32"/>
    <x v="3"/>
    <x v="32"/>
    <x v="0"/>
    <x v="1"/>
  </r>
  <r>
    <s v="DC"/>
    <x v="70"/>
    <s v="area_code_408"/>
    <x v="0"/>
    <x v="0"/>
    <n v="37"/>
    <n v="239.8"/>
    <n v="110"/>
    <n v="40.770000000000003"/>
    <n v="221.9"/>
    <n v="115"/>
    <n v="18.86"/>
    <n v="189.1"/>
    <n v="100"/>
    <n v="8.51"/>
    <x v="48"/>
    <x v="8"/>
    <x v="48"/>
    <x v="2"/>
    <x v="0"/>
  </r>
  <r>
    <s v="UT"/>
    <x v="119"/>
    <s v="area_code_510"/>
    <x v="0"/>
    <x v="0"/>
    <n v="43"/>
    <n v="172"/>
    <n v="111"/>
    <n v="29.24"/>
    <n v="200.2"/>
    <n v="64"/>
    <n v="17.02"/>
    <n v="233.1"/>
    <n v="96"/>
    <n v="10.49"/>
    <x v="40"/>
    <x v="1"/>
    <x v="40"/>
    <x v="0"/>
    <x v="0"/>
  </r>
  <r>
    <s v="WA"/>
    <x v="123"/>
    <s v="area_code_408"/>
    <x v="1"/>
    <x v="0"/>
    <n v="35"/>
    <n v="128.19999999999999"/>
    <n v="138"/>
    <n v="21.79"/>
    <n v="274.5"/>
    <n v="113"/>
    <n v="23.33"/>
    <n v="298.89999999999998"/>
    <n v="130"/>
    <n v="13.45"/>
    <x v="82"/>
    <x v="2"/>
    <x v="82"/>
    <x v="2"/>
    <x v="0"/>
  </r>
  <r>
    <s v="FL"/>
    <x v="134"/>
    <s v="area_code_510"/>
    <x v="0"/>
    <x v="1"/>
    <n v="0"/>
    <n v="130.19999999999999"/>
    <n v="119"/>
    <n v="22.13"/>
    <n v="290.89999999999998"/>
    <n v="121"/>
    <n v="24.73"/>
    <n v="194.8"/>
    <n v="140"/>
    <n v="8.77"/>
    <x v="100"/>
    <x v="3"/>
    <x v="100"/>
    <x v="3"/>
    <x v="0"/>
  </r>
  <r>
    <s v="VA"/>
    <x v="160"/>
    <s v="area_code_510"/>
    <x v="0"/>
    <x v="1"/>
    <n v="0"/>
    <n v="195.4"/>
    <n v="107"/>
    <n v="33.22"/>
    <n v="154.6"/>
    <n v="96"/>
    <n v="13.14"/>
    <n v="142.80000000000001"/>
    <n v="97"/>
    <n v="6.43"/>
    <x v="43"/>
    <x v="3"/>
    <x v="43"/>
    <x v="0"/>
    <x v="0"/>
  </r>
  <r>
    <s v="KS"/>
    <x v="77"/>
    <s v="area_code_415"/>
    <x v="1"/>
    <x v="1"/>
    <n v="0"/>
    <n v="293.3"/>
    <n v="79"/>
    <n v="49.86"/>
    <n v="188.5"/>
    <n v="90"/>
    <n v="16.02"/>
    <n v="266.89999999999998"/>
    <n v="91"/>
    <n v="12.01"/>
    <x v="25"/>
    <x v="4"/>
    <x v="25"/>
    <x v="1"/>
    <x v="1"/>
  </r>
  <r>
    <s v="KS"/>
    <x v="74"/>
    <s v="area_code_415"/>
    <x v="0"/>
    <x v="1"/>
    <n v="0"/>
    <n v="191.3"/>
    <n v="89"/>
    <n v="32.520000000000003"/>
    <n v="193.9"/>
    <n v="87"/>
    <n v="16.48"/>
    <n v="268.39999999999998"/>
    <n v="121"/>
    <n v="12.08"/>
    <x v="75"/>
    <x v="4"/>
    <x v="75"/>
    <x v="0"/>
    <x v="0"/>
  </r>
  <r>
    <s v="ME"/>
    <x v="102"/>
    <s v="area_code_408"/>
    <x v="0"/>
    <x v="0"/>
    <n v="33"/>
    <n v="209.6"/>
    <n v="68"/>
    <n v="35.630000000000003"/>
    <n v="146.9"/>
    <n v="140"/>
    <n v="12.49"/>
    <n v="121"/>
    <n v="131"/>
    <n v="5.44"/>
    <x v="15"/>
    <x v="0"/>
    <x v="15"/>
    <x v="2"/>
    <x v="0"/>
  </r>
  <r>
    <s v="LA"/>
    <x v="161"/>
    <s v="area_code_415"/>
    <x v="0"/>
    <x v="1"/>
    <n v="0"/>
    <n v="215.7"/>
    <n v="140"/>
    <n v="36.67"/>
    <n v="146.30000000000001"/>
    <n v="84"/>
    <n v="12.44"/>
    <n v="264.60000000000002"/>
    <n v="83"/>
    <n v="11.91"/>
    <x v="5"/>
    <x v="8"/>
    <x v="5"/>
    <x v="3"/>
    <x v="0"/>
  </r>
  <r>
    <s v="DC"/>
    <x v="49"/>
    <s v="area_code_415"/>
    <x v="0"/>
    <x v="1"/>
    <n v="0"/>
    <n v="161.4"/>
    <n v="110"/>
    <n v="27.44"/>
    <n v="220.6"/>
    <n v="125"/>
    <n v="18.75"/>
    <n v="249.2"/>
    <n v="78"/>
    <n v="11.21"/>
    <x v="118"/>
    <x v="5"/>
    <x v="118"/>
    <x v="1"/>
    <x v="0"/>
  </r>
  <r>
    <s v="TX"/>
    <x v="35"/>
    <s v="area_code_510"/>
    <x v="0"/>
    <x v="1"/>
    <n v="0"/>
    <n v="144.19999999999999"/>
    <n v="91"/>
    <n v="24.51"/>
    <n v="226.7"/>
    <n v="137"/>
    <n v="19.27"/>
    <n v="144.6"/>
    <n v="72"/>
    <n v="6.51"/>
    <x v="12"/>
    <x v="4"/>
    <x v="12"/>
    <x v="3"/>
    <x v="0"/>
  </r>
  <r>
    <s v="NJ"/>
    <x v="11"/>
    <s v="area_code_408"/>
    <x v="1"/>
    <x v="0"/>
    <n v="37"/>
    <n v="220.2"/>
    <n v="109"/>
    <n v="37.43"/>
    <n v="185.3"/>
    <n v="99"/>
    <n v="15.75"/>
    <n v="205.1"/>
    <n v="82"/>
    <n v="9.23"/>
    <x v="119"/>
    <x v="5"/>
    <x v="119"/>
    <x v="1"/>
    <x v="1"/>
  </r>
  <r>
    <s v="DE"/>
    <x v="137"/>
    <s v="area_code_510"/>
    <x v="0"/>
    <x v="1"/>
    <n v="0"/>
    <n v="256.2"/>
    <n v="105"/>
    <n v="43.55"/>
    <n v="160.69999999999999"/>
    <n v="102"/>
    <n v="13.66"/>
    <n v="249.4"/>
    <n v="80"/>
    <n v="11.22"/>
    <x v="33"/>
    <x v="5"/>
    <x v="33"/>
    <x v="4"/>
    <x v="0"/>
  </r>
  <r>
    <s v="VT"/>
    <x v="35"/>
    <s v="area_code_415"/>
    <x v="0"/>
    <x v="1"/>
    <n v="0"/>
    <n v="112.7"/>
    <n v="119"/>
    <n v="19.16"/>
    <n v="217.7"/>
    <n v="109"/>
    <n v="18.5"/>
    <n v="152.1"/>
    <n v="76"/>
    <n v="6.84"/>
    <x v="94"/>
    <x v="1"/>
    <x v="94"/>
    <x v="0"/>
    <x v="0"/>
  </r>
  <r>
    <s v="TX"/>
    <x v="141"/>
    <s v="area_code_408"/>
    <x v="0"/>
    <x v="1"/>
    <n v="0"/>
    <n v="194.8"/>
    <n v="107"/>
    <n v="33.119999999999997"/>
    <n v="170.9"/>
    <n v="99"/>
    <n v="14.53"/>
    <n v="225.1"/>
    <n v="93"/>
    <n v="10.130000000000001"/>
    <x v="55"/>
    <x v="4"/>
    <x v="55"/>
    <x v="1"/>
    <x v="0"/>
  </r>
  <r>
    <s v="MT"/>
    <x v="162"/>
    <s v="area_code_415"/>
    <x v="0"/>
    <x v="1"/>
    <n v="0"/>
    <n v="100.8"/>
    <n v="112"/>
    <n v="17.14"/>
    <n v="230"/>
    <n v="69"/>
    <n v="19.55"/>
    <n v="193.6"/>
    <n v="95"/>
    <n v="8.7100000000000009"/>
    <x v="17"/>
    <x v="5"/>
    <x v="17"/>
    <x v="1"/>
    <x v="0"/>
  </r>
  <r>
    <s v="ND"/>
    <x v="90"/>
    <s v="area_code_408"/>
    <x v="0"/>
    <x v="0"/>
    <n v="22"/>
    <n v="82.5"/>
    <n v="97"/>
    <n v="14.03"/>
    <n v="289.89999999999998"/>
    <n v="94"/>
    <n v="24.64"/>
    <n v="180"/>
    <n v="114"/>
    <n v="8.1"/>
    <x v="104"/>
    <x v="4"/>
    <x v="104"/>
    <x v="3"/>
    <x v="0"/>
  </r>
  <r>
    <s v="NJ"/>
    <x v="66"/>
    <s v="area_code_415"/>
    <x v="0"/>
    <x v="0"/>
    <n v="34"/>
    <n v="146.4"/>
    <n v="104"/>
    <n v="24.89"/>
    <n v="89.7"/>
    <n v="103"/>
    <n v="7.62"/>
    <n v="220"/>
    <n v="91"/>
    <n v="9.9"/>
    <x v="95"/>
    <x v="4"/>
    <x v="95"/>
    <x v="2"/>
    <x v="0"/>
  </r>
  <r>
    <s v="MO"/>
    <x v="25"/>
    <s v="area_code_408"/>
    <x v="0"/>
    <x v="1"/>
    <n v="0"/>
    <n v="177.9"/>
    <n v="129"/>
    <n v="30.24"/>
    <n v="224.6"/>
    <n v="87"/>
    <n v="19.09"/>
    <n v="306.3"/>
    <n v="102"/>
    <n v="13.78"/>
    <x v="81"/>
    <x v="3"/>
    <x v="81"/>
    <x v="2"/>
    <x v="0"/>
  </r>
  <r>
    <s v="CO"/>
    <x v="64"/>
    <s v="area_code_510"/>
    <x v="0"/>
    <x v="0"/>
    <n v="27"/>
    <n v="153.5"/>
    <n v="84"/>
    <n v="26.1"/>
    <n v="194"/>
    <n v="73"/>
    <n v="16.489999999999998"/>
    <n v="256.5"/>
    <n v="94"/>
    <n v="11.54"/>
    <x v="39"/>
    <x v="2"/>
    <x v="39"/>
    <x v="5"/>
    <x v="0"/>
  </r>
  <r>
    <s v="KS"/>
    <x v="4"/>
    <s v="area_code_408"/>
    <x v="0"/>
    <x v="1"/>
    <n v="0"/>
    <n v="150.69999999999999"/>
    <n v="105"/>
    <n v="25.62"/>
    <n v="197.3"/>
    <n v="133"/>
    <n v="16.77"/>
    <n v="169"/>
    <n v="116"/>
    <n v="7.61"/>
    <x v="29"/>
    <x v="9"/>
    <x v="29"/>
    <x v="0"/>
    <x v="0"/>
  </r>
  <r>
    <s v="NC"/>
    <x v="32"/>
    <s v="area_code_408"/>
    <x v="0"/>
    <x v="0"/>
    <n v="19"/>
    <n v="180.1"/>
    <n v="106"/>
    <n v="30.62"/>
    <n v="127.5"/>
    <n v="92"/>
    <n v="10.84"/>
    <n v="237.4"/>
    <n v="118"/>
    <n v="10.68"/>
    <x v="4"/>
    <x v="0"/>
    <x v="4"/>
    <x v="1"/>
    <x v="0"/>
  </r>
  <r>
    <s v="MT"/>
    <x v="163"/>
    <s v="area_code_415"/>
    <x v="0"/>
    <x v="0"/>
    <n v="31"/>
    <n v="265.3"/>
    <n v="94"/>
    <n v="45.1"/>
    <n v="147.6"/>
    <n v="95"/>
    <n v="12.55"/>
    <n v="259.3"/>
    <n v="117"/>
    <n v="11.67"/>
    <x v="89"/>
    <x v="8"/>
    <x v="89"/>
    <x v="0"/>
    <x v="0"/>
  </r>
  <r>
    <s v="DE"/>
    <x v="96"/>
    <s v="area_code_415"/>
    <x v="0"/>
    <x v="1"/>
    <n v="0"/>
    <n v="128.6"/>
    <n v="83"/>
    <n v="21.86"/>
    <n v="134"/>
    <n v="114"/>
    <n v="11.39"/>
    <n v="210.6"/>
    <n v="113"/>
    <n v="9.48"/>
    <x v="37"/>
    <x v="5"/>
    <x v="37"/>
    <x v="1"/>
    <x v="0"/>
  </r>
  <r>
    <s v="ND"/>
    <x v="105"/>
    <s v="area_code_415"/>
    <x v="0"/>
    <x v="1"/>
    <n v="0"/>
    <n v="161.5"/>
    <n v="92"/>
    <n v="27.46"/>
    <n v="173.5"/>
    <n v="108"/>
    <n v="14.75"/>
    <n v="206.2"/>
    <n v="95"/>
    <n v="9.2799999999999994"/>
    <x v="57"/>
    <x v="4"/>
    <x v="57"/>
    <x v="2"/>
    <x v="0"/>
  </r>
  <r>
    <s v="VA"/>
    <x v="9"/>
    <s v="area_code_408"/>
    <x v="0"/>
    <x v="1"/>
    <n v="0"/>
    <n v="165.3"/>
    <n v="120"/>
    <n v="28.1"/>
    <n v="198.5"/>
    <n v="106"/>
    <n v="16.87"/>
    <n v="208.5"/>
    <n v="102"/>
    <n v="9.3800000000000008"/>
    <x v="52"/>
    <x v="0"/>
    <x v="52"/>
    <x v="0"/>
    <x v="0"/>
  </r>
  <r>
    <s v="IL"/>
    <x v="82"/>
    <s v="area_code_415"/>
    <x v="0"/>
    <x v="1"/>
    <n v="0"/>
    <n v="195"/>
    <n v="92"/>
    <n v="33.15"/>
    <n v="210.5"/>
    <n v="83"/>
    <n v="17.89"/>
    <n v="180.6"/>
    <n v="92"/>
    <n v="8.1300000000000008"/>
    <x v="34"/>
    <x v="15"/>
    <x v="34"/>
    <x v="1"/>
    <x v="0"/>
  </r>
  <r>
    <s v="OK"/>
    <x v="23"/>
    <s v="area_code_415"/>
    <x v="0"/>
    <x v="1"/>
    <n v="0"/>
    <n v="213.8"/>
    <n v="79"/>
    <n v="36.35"/>
    <n v="265.10000000000002"/>
    <n v="93"/>
    <n v="22.53"/>
    <n v="239.8"/>
    <n v="128"/>
    <n v="10.79"/>
    <x v="95"/>
    <x v="2"/>
    <x v="95"/>
    <x v="1"/>
    <x v="0"/>
  </r>
  <r>
    <s v="CO"/>
    <x v="18"/>
    <s v="area_code_510"/>
    <x v="0"/>
    <x v="0"/>
    <n v="24"/>
    <n v="205.5"/>
    <n v="114"/>
    <n v="34.94"/>
    <n v="219.3"/>
    <n v="99"/>
    <n v="18.64"/>
    <n v="215.9"/>
    <n v="95"/>
    <n v="9.7200000000000006"/>
    <x v="100"/>
    <x v="4"/>
    <x v="100"/>
    <x v="0"/>
    <x v="0"/>
  </r>
  <r>
    <s v="MT"/>
    <x v="54"/>
    <s v="area_code_415"/>
    <x v="0"/>
    <x v="0"/>
    <n v="22"/>
    <n v="252.9"/>
    <n v="112"/>
    <n v="42.99"/>
    <n v="177.9"/>
    <n v="99"/>
    <n v="15.12"/>
    <n v="158.4"/>
    <n v="146"/>
    <n v="7.13"/>
    <x v="31"/>
    <x v="4"/>
    <x v="31"/>
    <x v="3"/>
    <x v="0"/>
  </r>
  <r>
    <s v="ME"/>
    <x v="105"/>
    <s v="area_code_415"/>
    <x v="0"/>
    <x v="1"/>
    <n v="0"/>
    <n v="192"/>
    <n v="91"/>
    <n v="32.64"/>
    <n v="127.6"/>
    <n v="127"/>
    <n v="10.85"/>
    <n v="155.6"/>
    <n v="125"/>
    <n v="7"/>
    <x v="4"/>
    <x v="1"/>
    <x v="4"/>
    <x v="0"/>
    <x v="0"/>
  </r>
  <r>
    <s v="WI"/>
    <x v="100"/>
    <s v="area_code_415"/>
    <x v="0"/>
    <x v="0"/>
    <n v="39"/>
    <n v="69.099999999999994"/>
    <n v="122"/>
    <n v="11.75"/>
    <n v="101.3"/>
    <n v="136"/>
    <n v="8.61"/>
    <n v="104.8"/>
    <n v="94"/>
    <n v="4.72"/>
    <x v="9"/>
    <x v="4"/>
    <x v="9"/>
    <x v="1"/>
    <x v="0"/>
  </r>
  <r>
    <s v="MO"/>
    <x v="134"/>
    <s v="area_code_408"/>
    <x v="0"/>
    <x v="1"/>
    <n v="0"/>
    <n v="261.7"/>
    <n v="97"/>
    <n v="44.49"/>
    <n v="210.6"/>
    <n v="48"/>
    <n v="17.899999999999999"/>
    <n v="256.7"/>
    <n v="83"/>
    <n v="11.55"/>
    <x v="120"/>
    <x v="0"/>
    <x v="120"/>
    <x v="3"/>
    <x v="1"/>
  </r>
  <r>
    <s v="NY"/>
    <x v="141"/>
    <s v="area_code_415"/>
    <x v="0"/>
    <x v="1"/>
    <n v="0"/>
    <n v="235.5"/>
    <n v="81"/>
    <n v="40.04"/>
    <n v="257.2"/>
    <n v="130"/>
    <n v="21.86"/>
    <n v="103.1"/>
    <n v="111"/>
    <n v="4.6399999999999997"/>
    <x v="73"/>
    <x v="4"/>
    <x v="73"/>
    <x v="2"/>
    <x v="0"/>
  </r>
  <r>
    <s v="CT"/>
    <x v="102"/>
    <s v="area_code_408"/>
    <x v="0"/>
    <x v="1"/>
    <n v="0"/>
    <n v="213.4"/>
    <n v="100"/>
    <n v="36.28"/>
    <n v="204.9"/>
    <n v="52"/>
    <n v="17.420000000000002"/>
    <n v="179.7"/>
    <n v="93"/>
    <n v="8.09"/>
    <x v="17"/>
    <x v="3"/>
    <x v="17"/>
    <x v="0"/>
    <x v="0"/>
  </r>
  <r>
    <s v="WY"/>
    <x v="137"/>
    <s v="area_code_415"/>
    <x v="0"/>
    <x v="0"/>
    <n v="22"/>
    <n v="263.8"/>
    <n v="65"/>
    <n v="44.85"/>
    <n v="103.4"/>
    <n v="115"/>
    <n v="8.7899999999999991"/>
    <n v="208.1"/>
    <n v="109"/>
    <n v="9.36"/>
    <x v="31"/>
    <x v="0"/>
    <x v="31"/>
    <x v="3"/>
    <x v="0"/>
  </r>
  <r>
    <s v="CA"/>
    <x v="39"/>
    <s v="area_code_510"/>
    <x v="0"/>
    <x v="0"/>
    <n v="31"/>
    <n v="183.4"/>
    <n v="126"/>
    <n v="31.18"/>
    <n v="195.5"/>
    <n v="106"/>
    <n v="16.62"/>
    <n v="180.1"/>
    <n v="93"/>
    <n v="8.1"/>
    <x v="26"/>
    <x v="1"/>
    <x v="26"/>
    <x v="0"/>
    <x v="0"/>
  </r>
  <r>
    <s v="CA"/>
    <x v="134"/>
    <s v="area_code_510"/>
    <x v="0"/>
    <x v="1"/>
    <n v="0"/>
    <n v="157.6"/>
    <n v="85"/>
    <n v="26.79"/>
    <n v="194.1"/>
    <n v="92"/>
    <n v="16.5"/>
    <n v="231.5"/>
    <n v="86"/>
    <n v="10.42"/>
    <x v="27"/>
    <x v="11"/>
    <x v="27"/>
    <x v="5"/>
    <x v="1"/>
  </r>
  <r>
    <s v="MN"/>
    <x v="132"/>
    <s v="area_code_415"/>
    <x v="0"/>
    <x v="1"/>
    <n v="0"/>
    <n v="175.6"/>
    <n v="147"/>
    <n v="29.85"/>
    <n v="161.80000000000001"/>
    <n v="118"/>
    <n v="13.75"/>
    <n v="289.5"/>
    <n v="55"/>
    <n v="13.03"/>
    <x v="38"/>
    <x v="4"/>
    <x v="38"/>
    <x v="1"/>
    <x v="0"/>
  </r>
  <r>
    <s v="AK"/>
    <x v="17"/>
    <s v="area_code_415"/>
    <x v="0"/>
    <x v="1"/>
    <n v="0"/>
    <n v="242.5"/>
    <n v="101"/>
    <n v="41.23"/>
    <n v="102.8"/>
    <n v="114"/>
    <n v="8.74"/>
    <n v="142.4"/>
    <n v="89"/>
    <n v="6.41"/>
    <x v="38"/>
    <x v="5"/>
    <x v="38"/>
    <x v="2"/>
    <x v="0"/>
  </r>
  <r>
    <s v="VA"/>
    <x v="30"/>
    <s v="area_code_415"/>
    <x v="0"/>
    <x v="1"/>
    <n v="0"/>
    <n v="151"/>
    <n v="102"/>
    <n v="25.67"/>
    <n v="131.4"/>
    <n v="101"/>
    <n v="11.17"/>
    <n v="186.6"/>
    <n v="86"/>
    <n v="8.4"/>
    <x v="79"/>
    <x v="2"/>
    <x v="79"/>
    <x v="1"/>
    <x v="0"/>
  </r>
  <r>
    <s v="CO"/>
    <x v="83"/>
    <s v="area_code_415"/>
    <x v="0"/>
    <x v="1"/>
    <n v="0"/>
    <n v="138.1"/>
    <n v="103"/>
    <n v="23.48"/>
    <n v="164.5"/>
    <n v="100"/>
    <n v="13.98"/>
    <n v="134.9"/>
    <n v="63"/>
    <n v="6.07"/>
    <x v="24"/>
    <x v="5"/>
    <x v="24"/>
    <x v="0"/>
    <x v="0"/>
  </r>
  <r>
    <s v="MT"/>
    <x v="143"/>
    <s v="area_code_408"/>
    <x v="0"/>
    <x v="1"/>
    <n v="0"/>
    <n v="264.7"/>
    <n v="69"/>
    <n v="45"/>
    <n v="305"/>
    <n v="120"/>
    <n v="25.93"/>
    <n v="197.4"/>
    <n v="86"/>
    <n v="8.8800000000000008"/>
    <x v="17"/>
    <x v="6"/>
    <x v="17"/>
    <x v="0"/>
    <x v="1"/>
  </r>
  <r>
    <s v="SD"/>
    <x v="8"/>
    <s v="area_code_408"/>
    <x v="0"/>
    <x v="0"/>
    <n v="31"/>
    <n v="282.3"/>
    <n v="70"/>
    <n v="47.99"/>
    <n v="152"/>
    <n v="89"/>
    <n v="12.92"/>
    <n v="225.5"/>
    <n v="93"/>
    <n v="10.15"/>
    <x v="42"/>
    <x v="4"/>
    <x v="42"/>
    <x v="0"/>
    <x v="0"/>
  </r>
  <r>
    <s v="VT"/>
    <x v="153"/>
    <s v="area_code_415"/>
    <x v="0"/>
    <x v="1"/>
    <n v="0"/>
    <n v="197.1"/>
    <n v="126"/>
    <n v="33.51"/>
    <n v="130.1"/>
    <n v="76"/>
    <n v="11.06"/>
    <n v="78.099999999999994"/>
    <n v="100"/>
    <n v="3.51"/>
    <x v="33"/>
    <x v="4"/>
    <x v="33"/>
    <x v="3"/>
    <x v="0"/>
  </r>
  <r>
    <s v="ND"/>
    <x v="5"/>
    <s v="area_code_408"/>
    <x v="0"/>
    <x v="1"/>
    <n v="0"/>
    <n v="205.3"/>
    <n v="95"/>
    <n v="34.9"/>
    <n v="166.7"/>
    <n v="128"/>
    <n v="14.17"/>
    <n v="240.6"/>
    <n v="84"/>
    <n v="10.83"/>
    <x v="35"/>
    <x v="4"/>
    <x v="35"/>
    <x v="0"/>
    <x v="0"/>
  </r>
  <r>
    <s v="GA"/>
    <x v="126"/>
    <s v="area_code_415"/>
    <x v="0"/>
    <x v="0"/>
    <n v="22"/>
    <n v="181.8"/>
    <n v="110"/>
    <n v="30.91"/>
    <n v="228.1"/>
    <n v="123"/>
    <n v="19.39"/>
    <n v="262.7"/>
    <n v="141"/>
    <n v="11.82"/>
    <x v="29"/>
    <x v="4"/>
    <x v="29"/>
    <x v="2"/>
    <x v="0"/>
  </r>
  <r>
    <s v="OR"/>
    <x v="64"/>
    <s v="area_code_415"/>
    <x v="0"/>
    <x v="1"/>
    <n v="0"/>
    <n v="252"/>
    <n v="120"/>
    <n v="42.84"/>
    <n v="150.19999999999999"/>
    <n v="106"/>
    <n v="12.77"/>
    <n v="151.80000000000001"/>
    <n v="96"/>
    <n v="6.83"/>
    <x v="63"/>
    <x v="8"/>
    <x v="63"/>
    <x v="2"/>
    <x v="0"/>
  </r>
  <r>
    <s v="WY"/>
    <x v="158"/>
    <s v="area_code_415"/>
    <x v="0"/>
    <x v="1"/>
    <n v="0"/>
    <n v="231.2"/>
    <n v="135"/>
    <n v="39.299999999999997"/>
    <n v="188.7"/>
    <n v="74"/>
    <n v="16.04"/>
    <n v="206.9"/>
    <n v="124"/>
    <n v="9.31"/>
    <x v="10"/>
    <x v="8"/>
    <x v="10"/>
    <x v="0"/>
    <x v="0"/>
  </r>
  <r>
    <s v="GA"/>
    <x v="116"/>
    <s v="area_code_415"/>
    <x v="0"/>
    <x v="0"/>
    <n v="33"/>
    <n v="200.1"/>
    <n v="108"/>
    <n v="34.020000000000003"/>
    <n v="188.9"/>
    <n v="122"/>
    <n v="16.059999999999999"/>
    <n v="205.1"/>
    <n v="90"/>
    <n v="9.23"/>
    <x v="121"/>
    <x v="4"/>
    <x v="121"/>
    <x v="1"/>
    <x v="0"/>
  </r>
  <r>
    <s v="WV"/>
    <x v="89"/>
    <s v="area_code_408"/>
    <x v="0"/>
    <x v="0"/>
    <n v="26"/>
    <n v="266.7"/>
    <n v="109"/>
    <n v="45.34"/>
    <n v="232.3"/>
    <n v="107"/>
    <n v="19.75"/>
    <n v="212.8"/>
    <n v="98"/>
    <n v="9.58"/>
    <x v="122"/>
    <x v="4"/>
    <x v="122"/>
    <x v="0"/>
    <x v="0"/>
  </r>
  <r>
    <s v="IL"/>
    <x v="81"/>
    <s v="area_code_408"/>
    <x v="0"/>
    <x v="1"/>
    <n v="0"/>
    <n v="175.3"/>
    <n v="106"/>
    <n v="29.8"/>
    <n v="144.30000000000001"/>
    <n v="87"/>
    <n v="12.27"/>
    <n v="160.19999999999999"/>
    <n v="88"/>
    <n v="7.21"/>
    <x v="23"/>
    <x v="1"/>
    <x v="23"/>
    <x v="1"/>
    <x v="0"/>
  </r>
  <r>
    <s v="CO"/>
    <x v="37"/>
    <s v="area_code_408"/>
    <x v="0"/>
    <x v="1"/>
    <n v="0"/>
    <n v="125.1"/>
    <n v="99"/>
    <n v="21.27"/>
    <n v="248.8"/>
    <n v="62"/>
    <n v="21.15"/>
    <n v="211.3"/>
    <n v="79"/>
    <n v="9.51"/>
    <x v="7"/>
    <x v="0"/>
    <x v="7"/>
    <x v="3"/>
    <x v="0"/>
  </r>
  <r>
    <s v="DE"/>
    <x v="115"/>
    <s v="area_code_415"/>
    <x v="0"/>
    <x v="1"/>
    <n v="0"/>
    <n v="176.8"/>
    <n v="90"/>
    <n v="30.06"/>
    <n v="224.7"/>
    <n v="81"/>
    <n v="19.100000000000001"/>
    <n v="204.6"/>
    <n v="77"/>
    <n v="9.2100000000000009"/>
    <x v="4"/>
    <x v="9"/>
    <x v="4"/>
    <x v="0"/>
    <x v="0"/>
  </r>
  <r>
    <s v="LA"/>
    <x v="47"/>
    <s v="area_code_415"/>
    <x v="0"/>
    <x v="1"/>
    <n v="0"/>
    <n v="241.9"/>
    <n v="101"/>
    <n v="41.12"/>
    <n v="129.4"/>
    <n v="121"/>
    <n v="11"/>
    <n v="264.8"/>
    <n v="104"/>
    <n v="11.92"/>
    <x v="96"/>
    <x v="0"/>
    <x v="96"/>
    <x v="0"/>
    <x v="0"/>
  </r>
  <r>
    <s v="IN"/>
    <x v="2"/>
    <s v="area_code_408"/>
    <x v="0"/>
    <x v="1"/>
    <n v="0"/>
    <n v="217.1"/>
    <n v="99"/>
    <n v="36.909999999999997"/>
    <n v="236"/>
    <n v="68"/>
    <n v="20.059999999999999"/>
    <n v="118.3"/>
    <n v="120"/>
    <n v="5.32"/>
    <x v="27"/>
    <x v="4"/>
    <x v="27"/>
    <x v="0"/>
    <x v="0"/>
  </r>
  <r>
    <s v="NY"/>
    <x v="8"/>
    <s v="area_code_510"/>
    <x v="0"/>
    <x v="1"/>
    <n v="0"/>
    <n v="195.4"/>
    <n v="110"/>
    <n v="33.22"/>
    <n v="181.2"/>
    <n v="109"/>
    <n v="15.4"/>
    <n v="178.5"/>
    <n v="105"/>
    <n v="8.0299999999999994"/>
    <x v="56"/>
    <x v="4"/>
    <x v="56"/>
    <x v="1"/>
    <x v="0"/>
  </r>
  <r>
    <s v="TX"/>
    <x v="3"/>
    <s v="area_code_415"/>
    <x v="1"/>
    <x v="1"/>
    <n v="0"/>
    <n v="222.4"/>
    <n v="78"/>
    <n v="37.81"/>
    <n v="327"/>
    <n v="111"/>
    <n v="27.8"/>
    <n v="208"/>
    <n v="104"/>
    <n v="9.36"/>
    <x v="6"/>
    <x v="6"/>
    <x v="6"/>
    <x v="0"/>
    <x v="1"/>
  </r>
  <r>
    <s v="KS"/>
    <x v="43"/>
    <s v="area_code_510"/>
    <x v="0"/>
    <x v="1"/>
    <n v="0"/>
    <n v="189.5"/>
    <n v="90"/>
    <n v="32.22"/>
    <n v="189.8"/>
    <n v="118"/>
    <n v="16.13"/>
    <n v="205.8"/>
    <n v="83"/>
    <n v="9.26"/>
    <x v="67"/>
    <x v="5"/>
    <x v="67"/>
    <x v="0"/>
    <x v="0"/>
  </r>
  <r>
    <s v="WV"/>
    <x v="0"/>
    <s v="area_code_415"/>
    <x v="0"/>
    <x v="1"/>
    <n v="0"/>
    <n v="123.1"/>
    <n v="100"/>
    <n v="20.93"/>
    <n v="158.4"/>
    <n v="82"/>
    <n v="13.46"/>
    <n v="256.10000000000002"/>
    <n v="82"/>
    <n v="11.52"/>
    <x v="38"/>
    <x v="1"/>
    <x v="38"/>
    <x v="1"/>
    <x v="0"/>
  </r>
  <r>
    <s v="NE"/>
    <x v="164"/>
    <s v="area_code_415"/>
    <x v="0"/>
    <x v="0"/>
    <n v="38"/>
    <n v="256.7"/>
    <n v="98"/>
    <n v="43.64"/>
    <n v="150.5"/>
    <n v="120"/>
    <n v="12.79"/>
    <n v="123"/>
    <n v="87"/>
    <n v="5.54"/>
    <x v="37"/>
    <x v="0"/>
    <x v="37"/>
    <x v="3"/>
    <x v="0"/>
  </r>
  <r>
    <s v="ND"/>
    <x v="106"/>
    <s v="area_code_408"/>
    <x v="0"/>
    <x v="1"/>
    <n v="0"/>
    <n v="159.1"/>
    <n v="94"/>
    <n v="27.05"/>
    <n v="241.6"/>
    <n v="119"/>
    <n v="20.54"/>
    <n v="202.4"/>
    <n v="120"/>
    <n v="9.11"/>
    <x v="94"/>
    <x v="8"/>
    <x v="94"/>
    <x v="0"/>
    <x v="0"/>
  </r>
  <r>
    <s v="AK"/>
    <x v="77"/>
    <s v="area_code_408"/>
    <x v="0"/>
    <x v="1"/>
    <n v="0"/>
    <n v="100.1"/>
    <n v="90"/>
    <n v="17.02"/>
    <n v="233.3"/>
    <n v="93"/>
    <n v="19.829999999999998"/>
    <n v="204.4"/>
    <n v="57"/>
    <n v="9.1999999999999993"/>
    <x v="22"/>
    <x v="10"/>
    <x v="22"/>
    <x v="3"/>
    <x v="0"/>
  </r>
  <r>
    <s v="CO"/>
    <x v="69"/>
    <s v="area_code_415"/>
    <x v="0"/>
    <x v="0"/>
    <n v="32"/>
    <n v="30.9"/>
    <n v="113"/>
    <n v="5.25"/>
    <n v="187"/>
    <n v="113"/>
    <n v="15.9"/>
    <n v="230.8"/>
    <n v="101"/>
    <n v="10.39"/>
    <x v="53"/>
    <x v="2"/>
    <x v="53"/>
    <x v="0"/>
    <x v="0"/>
  </r>
  <r>
    <s v="ME"/>
    <x v="165"/>
    <s v="area_code_415"/>
    <x v="0"/>
    <x v="1"/>
    <n v="0"/>
    <n v="223.2"/>
    <n v="76"/>
    <n v="37.94"/>
    <n v="214.4"/>
    <n v="131"/>
    <n v="18.22"/>
    <n v="154.4"/>
    <n v="80"/>
    <n v="6.95"/>
    <x v="3"/>
    <x v="5"/>
    <x v="3"/>
    <x v="3"/>
    <x v="0"/>
  </r>
  <r>
    <s v="SC"/>
    <x v="65"/>
    <s v="area_code_510"/>
    <x v="0"/>
    <x v="1"/>
    <n v="0"/>
    <n v="187.4"/>
    <n v="101"/>
    <n v="31.86"/>
    <n v="199.9"/>
    <n v="126"/>
    <n v="16.989999999999998"/>
    <n v="216.1"/>
    <n v="107"/>
    <n v="9.7200000000000006"/>
    <x v="44"/>
    <x v="10"/>
    <x v="44"/>
    <x v="0"/>
    <x v="0"/>
  </r>
  <r>
    <s v="CO"/>
    <x v="144"/>
    <s v="area_code_415"/>
    <x v="0"/>
    <x v="1"/>
    <n v="0"/>
    <n v="277.5"/>
    <n v="104"/>
    <n v="47.18"/>
    <n v="131.80000000000001"/>
    <n v="121"/>
    <n v="11.2"/>
    <n v="126.9"/>
    <n v="101"/>
    <n v="5.71"/>
    <x v="45"/>
    <x v="5"/>
    <x v="45"/>
    <x v="0"/>
    <x v="0"/>
  </r>
  <r>
    <s v="MS"/>
    <x v="1"/>
    <s v="area_code_510"/>
    <x v="0"/>
    <x v="1"/>
    <n v="0"/>
    <n v="147.19999999999999"/>
    <n v="119"/>
    <n v="25.02"/>
    <n v="192.8"/>
    <n v="91"/>
    <n v="16.39"/>
    <n v="172.7"/>
    <n v="105"/>
    <n v="7.77"/>
    <x v="39"/>
    <x v="4"/>
    <x v="39"/>
    <x v="0"/>
    <x v="0"/>
  </r>
  <r>
    <s v="NE"/>
    <x v="55"/>
    <s v="area_code_408"/>
    <x v="0"/>
    <x v="1"/>
    <n v="0"/>
    <n v="185.8"/>
    <n v="36"/>
    <n v="31.59"/>
    <n v="276.5"/>
    <n v="134"/>
    <n v="23.5"/>
    <n v="192.1"/>
    <n v="104"/>
    <n v="8.64"/>
    <x v="16"/>
    <x v="2"/>
    <x v="16"/>
    <x v="4"/>
    <x v="0"/>
  </r>
  <r>
    <s v="NJ"/>
    <x v="73"/>
    <s v="area_code_510"/>
    <x v="0"/>
    <x v="0"/>
    <n v="29"/>
    <n v="155.4"/>
    <n v="110"/>
    <n v="26.42"/>
    <n v="188.5"/>
    <n v="104"/>
    <n v="16.02"/>
    <n v="254.9"/>
    <n v="118"/>
    <n v="11.47"/>
    <x v="40"/>
    <x v="4"/>
    <x v="40"/>
    <x v="3"/>
    <x v="0"/>
  </r>
  <r>
    <s v="WI"/>
    <x v="148"/>
    <s v="area_code_510"/>
    <x v="0"/>
    <x v="1"/>
    <n v="0"/>
    <n v="154.19999999999999"/>
    <n v="91"/>
    <n v="26.21"/>
    <n v="268.60000000000002"/>
    <n v="108"/>
    <n v="22.83"/>
    <n v="188.8"/>
    <n v="99"/>
    <n v="8.5"/>
    <x v="54"/>
    <x v="4"/>
    <x v="54"/>
    <x v="8"/>
    <x v="0"/>
  </r>
  <r>
    <s v="MT"/>
    <x v="39"/>
    <s v="area_code_415"/>
    <x v="0"/>
    <x v="1"/>
    <n v="0"/>
    <n v="97.6"/>
    <n v="98"/>
    <n v="16.59"/>
    <n v="105.5"/>
    <n v="118"/>
    <n v="8.9700000000000006"/>
    <n v="220.2"/>
    <n v="105"/>
    <n v="9.91"/>
    <x v="43"/>
    <x v="6"/>
    <x v="43"/>
    <x v="0"/>
    <x v="0"/>
  </r>
  <r>
    <s v="AR"/>
    <x v="166"/>
    <s v="area_code_415"/>
    <x v="0"/>
    <x v="1"/>
    <n v="0"/>
    <n v="178.8"/>
    <n v="94"/>
    <n v="30.4"/>
    <n v="178.4"/>
    <n v="97"/>
    <n v="15.16"/>
    <n v="169.2"/>
    <n v="77"/>
    <n v="7.61"/>
    <x v="4"/>
    <x v="0"/>
    <x v="4"/>
    <x v="0"/>
    <x v="0"/>
  </r>
  <r>
    <s v="WA"/>
    <x v="69"/>
    <s v="area_code_408"/>
    <x v="0"/>
    <x v="1"/>
    <n v="0"/>
    <n v="149.30000000000001"/>
    <n v="104"/>
    <n v="25.38"/>
    <n v="273.60000000000002"/>
    <n v="75"/>
    <n v="23.26"/>
    <n v="206.6"/>
    <n v="72"/>
    <n v="9.3000000000000007"/>
    <x v="9"/>
    <x v="4"/>
    <x v="9"/>
    <x v="1"/>
    <x v="0"/>
  </r>
  <r>
    <s v="NH"/>
    <x v="167"/>
    <s v="area_code_415"/>
    <x v="0"/>
    <x v="1"/>
    <n v="0"/>
    <n v="206"/>
    <n v="89"/>
    <n v="35.020000000000003"/>
    <n v="186"/>
    <n v="88"/>
    <n v="15.81"/>
    <n v="307.10000000000002"/>
    <n v="86"/>
    <n v="13.82"/>
    <x v="80"/>
    <x v="12"/>
    <x v="80"/>
    <x v="1"/>
    <x v="0"/>
  </r>
  <r>
    <s v="IA"/>
    <x v="28"/>
    <s v="area_code_415"/>
    <x v="0"/>
    <x v="1"/>
    <n v="0"/>
    <n v="216.8"/>
    <n v="86"/>
    <n v="36.86"/>
    <n v="190.8"/>
    <n v="114"/>
    <n v="16.22"/>
    <n v="187.5"/>
    <n v="79"/>
    <n v="8.44"/>
    <x v="34"/>
    <x v="6"/>
    <x v="34"/>
    <x v="1"/>
    <x v="0"/>
  </r>
  <r>
    <s v="WV"/>
    <x v="4"/>
    <s v="area_code_415"/>
    <x v="0"/>
    <x v="1"/>
    <n v="0"/>
    <n v="103.3"/>
    <n v="110"/>
    <n v="17.559999999999999"/>
    <n v="129.1"/>
    <n v="82"/>
    <n v="10.97"/>
    <n v="167.1"/>
    <n v="113"/>
    <n v="7.52"/>
    <x v="85"/>
    <x v="0"/>
    <x v="85"/>
    <x v="1"/>
    <x v="0"/>
  </r>
  <r>
    <s v="RI"/>
    <x v="60"/>
    <s v="area_code_415"/>
    <x v="0"/>
    <x v="1"/>
    <n v="0"/>
    <n v="139.4"/>
    <n v="95"/>
    <n v="23.7"/>
    <n v="159.1"/>
    <n v="92"/>
    <n v="13.52"/>
    <n v="128.19999999999999"/>
    <n v="129"/>
    <n v="5.77"/>
    <x v="18"/>
    <x v="0"/>
    <x v="18"/>
    <x v="1"/>
    <x v="0"/>
  </r>
  <r>
    <s v="KS"/>
    <x v="63"/>
    <s v="area_code_415"/>
    <x v="0"/>
    <x v="1"/>
    <n v="0"/>
    <n v="191.2"/>
    <n v="110"/>
    <n v="32.5"/>
    <n v="163.9"/>
    <n v="102"/>
    <n v="13.93"/>
    <n v="243.6"/>
    <n v="114"/>
    <n v="10.96"/>
    <x v="71"/>
    <x v="0"/>
    <x v="71"/>
    <x v="0"/>
    <x v="0"/>
  </r>
  <r>
    <s v="MT"/>
    <x v="74"/>
    <s v="area_code_510"/>
    <x v="0"/>
    <x v="0"/>
    <n v="23"/>
    <n v="160"/>
    <n v="104"/>
    <n v="27.2"/>
    <n v="189.4"/>
    <n v="64"/>
    <n v="16.100000000000001"/>
    <n v="229.9"/>
    <n v="118"/>
    <n v="10.35"/>
    <x v="91"/>
    <x v="2"/>
    <x v="91"/>
    <x v="0"/>
    <x v="0"/>
  </r>
  <r>
    <s v="MO"/>
    <x v="12"/>
    <s v="area_code_510"/>
    <x v="0"/>
    <x v="1"/>
    <n v="0"/>
    <n v="221.7"/>
    <n v="95"/>
    <n v="37.69"/>
    <n v="193"/>
    <n v="82"/>
    <n v="16.41"/>
    <n v="194.1"/>
    <n v="113"/>
    <n v="8.73"/>
    <x v="94"/>
    <x v="4"/>
    <x v="94"/>
    <x v="3"/>
    <x v="0"/>
  </r>
  <r>
    <s v="CO"/>
    <x v="65"/>
    <s v="area_code_415"/>
    <x v="0"/>
    <x v="1"/>
    <n v="0"/>
    <n v="215.6"/>
    <n v="78"/>
    <n v="36.65"/>
    <n v="195.3"/>
    <n v="119"/>
    <n v="16.600000000000001"/>
    <n v="194.4"/>
    <n v="65"/>
    <n v="8.75"/>
    <x v="115"/>
    <x v="1"/>
    <x v="115"/>
    <x v="0"/>
    <x v="0"/>
  </r>
  <r>
    <s v="CT"/>
    <x v="2"/>
    <s v="area_code_510"/>
    <x v="0"/>
    <x v="0"/>
    <n v="42"/>
    <n v="165.3"/>
    <n v="97"/>
    <n v="28.1"/>
    <n v="223.5"/>
    <n v="118"/>
    <n v="19"/>
    <n v="260.8"/>
    <n v="72"/>
    <n v="11.74"/>
    <x v="98"/>
    <x v="2"/>
    <x v="98"/>
    <x v="3"/>
    <x v="0"/>
  </r>
  <r>
    <s v="ID"/>
    <x v="82"/>
    <s v="area_code_415"/>
    <x v="1"/>
    <x v="0"/>
    <n v="32"/>
    <n v="94.7"/>
    <n v="111"/>
    <n v="16.100000000000001"/>
    <n v="154.4"/>
    <n v="98"/>
    <n v="13.12"/>
    <n v="200.4"/>
    <n v="109"/>
    <n v="9.02"/>
    <x v="15"/>
    <x v="3"/>
    <x v="15"/>
    <x v="2"/>
    <x v="0"/>
  </r>
  <r>
    <s v="DC"/>
    <x v="83"/>
    <s v="area_code_510"/>
    <x v="0"/>
    <x v="1"/>
    <n v="0"/>
    <n v="203.2"/>
    <n v="81"/>
    <n v="34.54"/>
    <n v="152.5"/>
    <n v="99"/>
    <n v="12.96"/>
    <n v="197.8"/>
    <n v="76"/>
    <n v="8.9"/>
    <x v="84"/>
    <x v="0"/>
    <x v="84"/>
    <x v="2"/>
    <x v="0"/>
  </r>
  <r>
    <s v="TN"/>
    <x v="155"/>
    <s v="area_code_510"/>
    <x v="0"/>
    <x v="1"/>
    <n v="0"/>
    <n v="195.3"/>
    <n v="70"/>
    <n v="33.200000000000003"/>
    <n v="216.7"/>
    <n v="108"/>
    <n v="18.420000000000002"/>
    <n v="259.89999999999998"/>
    <n v="119"/>
    <n v="11.7"/>
    <x v="60"/>
    <x v="4"/>
    <x v="60"/>
    <x v="3"/>
    <x v="0"/>
  </r>
  <r>
    <s v="MO"/>
    <x v="96"/>
    <s v="area_code_415"/>
    <x v="0"/>
    <x v="1"/>
    <n v="0"/>
    <n v="114.4"/>
    <n v="104"/>
    <n v="19.45"/>
    <n v="78.3"/>
    <n v="101"/>
    <n v="6.66"/>
    <n v="232.7"/>
    <n v="78"/>
    <n v="10.47"/>
    <x v="77"/>
    <x v="13"/>
    <x v="77"/>
    <x v="2"/>
    <x v="0"/>
  </r>
  <r>
    <s v="VA"/>
    <x v="124"/>
    <s v="area_code_415"/>
    <x v="0"/>
    <x v="1"/>
    <n v="0"/>
    <n v="222.8"/>
    <n v="101"/>
    <n v="37.880000000000003"/>
    <n v="203"/>
    <n v="128"/>
    <n v="17.260000000000002"/>
    <n v="210.6"/>
    <n v="106"/>
    <n v="9.48"/>
    <x v="72"/>
    <x v="5"/>
    <x v="72"/>
    <x v="2"/>
    <x v="0"/>
  </r>
  <r>
    <s v="SD"/>
    <x v="10"/>
    <s v="area_code_415"/>
    <x v="0"/>
    <x v="0"/>
    <n v="22"/>
    <n v="175.9"/>
    <n v="70"/>
    <n v="29.9"/>
    <n v="211.7"/>
    <n v="105"/>
    <n v="17.989999999999998"/>
    <n v="174.5"/>
    <n v="81"/>
    <n v="7.85"/>
    <x v="48"/>
    <x v="1"/>
    <x v="48"/>
    <x v="2"/>
    <x v="0"/>
  </r>
  <r>
    <s v="WV"/>
    <x v="85"/>
    <s v="area_code_510"/>
    <x v="1"/>
    <x v="1"/>
    <n v="0"/>
    <n v="249.9"/>
    <n v="95"/>
    <n v="42.48"/>
    <n v="242.5"/>
    <n v="104"/>
    <n v="20.61"/>
    <n v="151.69999999999999"/>
    <n v="121"/>
    <n v="6.83"/>
    <x v="107"/>
    <x v="3"/>
    <x v="107"/>
    <x v="0"/>
    <x v="1"/>
  </r>
  <r>
    <s v="GA"/>
    <x v="20"/>
    <s v="area_code_408"/>
    <x v="1"/>
    <x v="0"/>
    <n v="30"/>
    <n v="234.5"/>
    <n v="130"/>
    <n v="39.869999999999997"/>
    <n v="195.2"/>
    <n v="116"/>
    <n v="16.59"/>
    <n v="268.8"/>
    <n v="94"/>
    <n v="12.1"/>
    <x v="37"/>
    <x v="4"/>
    <x v="37"/>
    <x v="2"/>
    <x v="0"/>
  </r>
  <r>
    <s v="AZ"/>
    <x v="93"/>
    <s v="area_code_415"/>
    <x v="0"/>
    <x v="1"/>
    <n v="0"/>
    <n v="210.7"/>
    <n v="116"/>
    <n v="35.82"/>
    <n v="219.2"/>
    <n v="86"/>
    <n v="18.63"/>
    <n v="179.7"/>
    <n v="83"/>
    <n v="8.09"/>
    <x v="68"/>
    <x v="3"/>
    <x v="68"/>
    <x v="0"/>
    <x v="0"/>
  </r>
  <r>
    <s v="AK"/>
    <x v="76"/>
    <s v="area_code_408"/>
    <x v="0"/>
    <x v="1"/>
    <n v="0"/>
    <n v="182.3"/>
    <n v="124"/>
    <n v="30.99"/>
    <n v="169.9"/>
    <n v="110"/>
    <n v="14.44"/>
    <n v="184"/>
    <n v="116"/>
    <n v="8.2799999999999994"/>
    <x v="38"/>
    <x v="0"/>
    <x v="38"/>
    <x v="0"/>
    <x v="0"/>
  </r>
  <r>
    <s v="AK"/>
    <x v="26"/>
    <s v="area_code_510"/>
    <x v="0"/>
    <x v="1"/>
    <n v="0"/>
    <n v="190.3"/>
    <n v="88"/>
    <n v="32.35"/>
    <n v="194.5"/>
    <n v="89"/>
    <n v="16.53"/>
    <n v="256.5"/>
    <n v="109"/>
    <n v="11.54"/>
    <x v="50"/>
    <x v="1"/>
    <x v="50"/>
    <x v="2"/>
    <x v="0"/>
  </r>
  <r>
    <s v="CT"/>
    <x v="108"/>
    <s v="area_code_415"/>
    <x v="0"/>
    <x v="0"/>
    <n v="38"/>
    <n v="177.1"/>
    <n v="88"/>
    <n v="30.11"/>
    <n v="163.69999999999999"/>
    <n v="108"/>
    <n v="13.91"/>
    <n v="242.7"/>
    <n v="72"/>
    <n v="10.92"/>
    <x v="33"/>
    <x v="5"/>
    <x v="33"/>
    <x v="1"/>
    <x v="0"/>
  </r>
  <r>
    <s v="UT"/>
    <x v="78"/>
    <s v="area_code_510"/>
    <x v="0"/>
    <x v="0"/>
    <n v="36"/>
    <n v="87.2"/>
    <n v="92"/>
    <n v="14.82"/>
    <n v="169.3"/>
    <n v="110"/>
    <n v="14.39"/>
    <n v="166.7"/>
    <n v="80"/>
    <n v="7.5"/>
    <x v="54"/>
    <x v="1"/>
    <x v="54"/>
    <x v="8"/>
    <x v="1"/>
  </r>
  <r>
    <s v="KY"/>
    <x v="48"/>
    <s v="area_code_415"/>
    <x v="0"/>
    <x v="1"/>
    <n v="0"/>
    <n v="215.6"/>
    <n v="96"/>
    <n v="36.65"/>
    <n v="193.4"/>
    <n v="127"/>
    <n v="16.440000000000001"/>
    <n v="105.4"/>
    <n v="115"/>
    <n v="4.74"/>
    <x v="88"/>
    <x v="0"/>
    <x v="88"/>
    <x v="0"/>
    <x v="0"/>
  </r>
  <r>
    <s v="OR"/>
    <x v="131"/>
    <s v="area_code_510"/>
    <x v="0"/>
    <x v="0"/>
    <n v="36"/>
    <n v="192.8"/>
    <n v="103"/>
    <n v="32.78"/>
    <n v="177"/>
    <n v="83"/>
    <n v="15.05"/>
    <n v="216.5"/>
    <n v="118"/>
    <n v="9.74"/>
    <x v="123"/>
    <x v="1"/>
    <x v="123"/>
    <x v="0"/>
    <x v="0"/>
  </r>
  <r>
    <s v="TN"/>
    <x v="20"/>
    <s v="area_code_510"/>
    <x v="0"/>
    <x v="1"/>
    <n v="0"/>
    <n v="149.30000000000001"/>
    <n v="100"/>
    <n v="25.38"/>
    <n v="200.2"/>
    <n v="110"/>
    <n v="17.02"/>
    <n v="231.7"/>
    <n v="101"/>
    <n v="10.43"/>
    <x v="78"/>
    <x v="0"/>
    <x v="78"/>
    <x v="2"/>
    <x v="0"/>
  </r>
  <r>
    <s v="WV"/>
    <x v="55"/>
    <s v="area_code_408"/>
    <x v="0"/>
    <x v="1"/>
    <n v="0"/>
    <n v="143.69999999999999"/>
    <n v="116"/>
    <n v="24.43"/>
    <n v="170.7"/>
    <n v="99"/>
    <n v="14.51"/>
    <n v="287.7"/>
    <n v="95"/>
    <n v="12.95"/>
    <x v="35"/>
    <x v="1"/>
    <x v="35"/>
    <x v="0"/>
    <x v="0"/>
  </r>
  <r>
    <s v="NJ"/>
    <x v="32"/>
    <s v="area_code_415"/>
    <x v="0"/>
    <x v="1"/>
    <n v="0"/>
    <n v="224.8"/>
    <n v="111"/>
    <n v="38.22"/>
    <n v="190"/>
    <n v="101"/>
    <n v="16.149999999999999"/>
    <n v="221.4"/>
    <n v="110"/>
    <n v="9.9600000000000009"/>
    <x v="29"/>
    <x v="5"/>
    <x v="29"/>
    <x v="0"/>
    <x v="0"/>
  </r>
  <r>
    <s v="MS"/>
    <x v="112"/>
    <s v="area_code_510"/>
    <x v="0"/>
    <x v="0"/>
    <n v="39"/>
    <n v="261.2"/>
    <n v="122"/>
    <n v="44.4"/>
    <n v="214.2"/>
    <n v="101"/>
    <n v="18.21"/>
    <n v="154.9"/>
    <n v="101"/>
    <n v="6.97"/>
    <x v="8"/>
    <x v="1"/>
    <x v="8"/>
    <x v="2"/>
    <x v="0"/>
  </r>
  <r>
    <s v="ME"/>
    <x v="81"/>
    <s v="area_code_415"/>
    <x v="0"/>
    <x v="0"/>
    <n v="26"/>
    <n v="196.5"/>
    <n v="98"/>
    <n v="33.409999999999997"/>
    <n v="175.8"/>
    <n v="111"/>
    <n v="14.94"/>
    <n v="221.8"/>
    <n v="124"/>
    <n v="9.98"/>
    <x v="83"/>
    <x v="1"/>
    <x v="83"/>
    <x v="1"/>
    <x v="0"/>
  </r>
  <r>
    <s v="WY"/>
    <x v="60"/>
    <s v="area_code_510"/>
    <x v="0"/>
    <x v="1"/>
    <n v="0"/>
    <n v="271.2"/>
    <n v="105"/>
    <n v="46.1"/>
    <n v="202.6"/>
    <n v="105"/>
    <n v="17.22"/>
    <n v="221.6"/>
    <n v="51"/>
    <n v="9.9700000000000006"/>
    <x v="73"/>
    <x v="0"/>
    <x v="73"/>
    <x v="3"/>
    <x v="1"/>
  </r>
  <r>
    <s v="WY"/>
    <x v="53"/>
    <s v="area_code_415"/>
    <x v="0"/>
    <x v="1"/>
    <n v="0"/>
    <n v="207.2"/>
    <n v="121"/>
    <n v="35.22"/>
    <n v="292.5"/>
    <n v="104"/>
    <n v="24.86"/>
    <n v="226.3"/>
    <n v="103"/>
    <n v="10.18"/>
    <x v="40"/>
    <x v="8"/>
    <x v="40"/>
    <x v="2"/>
    <x v="0"/>
  </r>
  <r>
    <s v="IN"/>
    <x v="119"/>
    <s v="area_code_510"/>
    <x v="0"/>
    <x v="1"/>
    <n v="0"/>
    <n v="300.39999999999998"/>
    <n v="94"/>
    <n v="51.07"/>
    <n v="133.19999999999999"/>
    <n v="103"/>
    <n v="11.32"/>
    <n v="197.4"/>
    <n v="94"/>
    <n v="8.8800000000000008"/>
    <x v="68"/>
    <x v="1"/>
    <x v="68"/>
    <x v="2"/>
    <x v="0"/>
  </r>
  <r>
    <s v="NJ"/>
    <x v="67"/>
    <s v="area_code_415"/>
    <x v="1"/>
    <x v="0"/>
    <n v="20"/>
    <n v="187.5"/>
    <n v="110"/>
    <n v="31.88"/>
    <n v="169.8"/>
    <n v="94"/>
    <n v="14.43"/>
    <n v="175.3"/>
    <n v="127"/>
    <n v="7.89"/>
    <x v="47"/>
    <x v="4"/>
    <x v="47"/>
    <x v="0"/>
    <x v="0"/>
  </r>
  <r>
    <s v="DC"/>
    <x v="162"/>
    <s v="area_code_415"/>
    <x v="1"/>
    <x v="1"/>
    <n v="0"/>
    <n v="57.1"/>
    <n v="98"/>
    <n v="9.7100000000000009"/>
    <n v="199.7"/>
    <n v="78"/>
    <n v="16.97"/>
    <n v="274.7"/>
    <n v="103"/>
    <n v="12.36"/>
    <x v="94"/>
    <x v="3"/>
    <x v="94"/>
    <x v="3"/>
    <x v="0"/>
  </r>
  <r>
    <s v="KY"/>
    <x v="75"/>
    <s v="area_code_415"/>
    <x v="1"/>
    <x v="1"/>
    <n v="0"/>
    <n v="145"/>
    <n v="89"/>
    <n v="24.65"/>
    <n v="175.8"/>
    <n v="102"/>
    <n v="14.94"/>
    <n v="223.7"/>
    <n v="151"/>
    <n v="10.07"/>
    <x v="124"/>
    <x v="0"/>
    <x v="124"/>
    <x v="2"/>
    <x v="1"/>
  </r>
  <r>
    <s v="MI"/>
    <x v="116"/>
    <s v="area_code_510"/>
    <x v="0"/>
    <x v="1"/>
    <n v="0"/>
    <n v="190.7"/>
    <n v="72"/>
    <n v="32.42"/>
    <n v="208.6"/>
    <n v="103"/>
    <n v="17.73"/>
    <n v="203.8"/>
    <n v="111"/>
    <n v="9.17"/>
    <x v="82"/>
    <x v="10"/>
    <x v="82"/>
    <x v="0"/>
    <x v="0"/>
  </r>
  <r>
    <s v="UT"/>
    <x v="93"/>
    <s v="area_code_510"/>
    <x v="0"/>
    <x v="0"/>
    <n v="20"/>
    <n v="230.6"/>
    <n v="40"/>
    <n v="39.200000000000003"/>
    <n v="189.1"/>
    <n v="58"/>
    <n v="16.07"/>
    <n v="162.19999999999999"/>
    <n v="115"/>
    <n v="7.3"/>
    <x v="27"/>
    <x v="5"/>
    <x v="27"/>
    <x v="0"/>
    <x v="0"/>
  </r>
  <r>
    <s v="NE"/>
    <x v="103"/>
    <s v="area_code_415"/>
    <x v="0"/>
    <x v="1"/>
    <n v="0"/>
    <n v="34"/>
    <n v="133"/>
    <n v="5.78"/>
    <n v="278.60000000000002"/>
    <n v="61"/>
    <n v="23.68"/>
    <n v="129.6"/>
    <n v="120"/>
    <n v="5.83"/>
    <x v="73"/>
    <x v="0"/>
    <x v="73"/>
    <x v="1"/>
    <x v="0"/>
  </r>
  <r>
    <s v="FL"/>
    <x v="43"/>
    <s v="area_code_415"/>
    <x v="0"/>
    <x v="0"/>
    <n v="17"/>
    <n v="193.4"/>
    <n v="112"/>
    <n v="32.880000000000003"/>
    <n v="240.6"/>
    <n v="131"/>
    <n v="20.45"/>
    <n v="248.1"/>
    <n v="98"/>
    <n v="11.16"/>
    <x v="37"/>
    <x v="0"/>
    <x v="37"/>
    <x v="5"/>
    <x v="0"/>
  </r>
  <r>
    <s v="LA"/>
    <x v="124"/>
    <s v="area_code_408"/>
    <x v="0"/>
    <x v="1"/>
    <n v="0"/>
    <n v="202"/>
    <n v="126"/>
    <n v="34.340000000000003"/>
    <n v="163.5"/>
    <n v="86"/>
    <n v="13.9"/>
    <n v="195.4"/>
    <n v="84"/>
    <n v="8.7899999999999991"/>
    <x v="91"/>
    <x v="3"/>
    <x v="91"/>
    <x v="0"/>
    <x v="0"/>
  </r>
  <r>
    <s v="WA"/>
    <x v="115"/>
    <s v="area_code_415"/>
    <x v="0"/>
    <x v="0"/>
    <n v="26"/>
    <n v="161.30000000000001"/>
    <n v="97"/>
    <n v="27.42"/>
    <n v="250.3"/>
    <n v="110"/>
    <n v="21.28"/>
    <n v="142.4"/>
    <n v="92"/>
    <n v="6.41"/>
    <x v="2"/>
    <x v="10"/>
    <x v="2"/>
    <x v="0"/>
    <x v="0"/>
  </r>
  <r>
    <s v="MI"/>
    <x v="64"/>
    <s v="area_code_415"/>
    <x v="0"/>
    <x v="1"/>
    <n v="0"/>
    <n v="150.6"/>
    <n v="85"/>
    <n v="25.6"/>
    <n v="119"/>
    <n v="128"/>
    <n v="10.119999999999999"/>
    <n v="232.9"/>
    <n v="123"/>
    <n v="10.48"/>
    <x v="69"/>
    <x v="5"/>
    <x v="69"/>
    <x v="0"/>
    <x v="0"/>
  </r>
  <r>
    <s v="KY"/>
    <x v="61"/>
    <s v="area_code_510"/>
    <x v="0"/>
    <x v="1"/>
    <n v="0"/>
    <n v="184.6"/>
    <n v="102"/>
    <n v="31.38"/>
    <n v="196"/>
    <n v="117"/>
    <n v="16.66"/>
    <n v="226.5"/>
    <n v="122"/>
    <n v="10.19"/>
    <x v="35"/>
    <x v="8"/>
    <x v="35"/>
    <x v="0"/>
    <x v="0"/>
  </r>
  <r>
    <s v="LA"/>
    <x v="96"/>
    <s v="area_code_408"/>
    <x v="0"/>
    <x v="1"/>
    <n v="0"/>
    <n v="220.7"/>
    <n v="120"/>
    <n v="37.520000000000003"/>
    <n v="270.2"/>
    <n v="95"/>
    <n v="22.97"/>
    <n v="121.6"/>
    <n v="113"/>
    <n v="5.47"/>
    <x v="6"/>
    <x v="1"/>
    <x v="6"/>
    <x v="0"/>
    <x v="0"/>
  </r>
  <r>
    <s v="AL"/>
    <x v="117"/>
    <s v="area_code_415"/>
    <x v="0"/>
    <x v="0"/>
    <n v="32"/>
    <n v="154"/>
    <n v="80"/>
    <n v="26.18"/>
    <n v="185.5"/>
    <n v="91"/>
    <n v="15.77"/>
    <n v="148.19999999999999"/>
    <n v="107"/>
    <n v="6.67"/>
    <x v="45"/>
    <x v="4"/>
    <x v="45"/>
    <x v="3"/>
    <x v="0"/>
  </r>
  <r>
    <s v="MO"/>
    <x v="116"/>
    <s v="area_code_415"/>
    <x v="0"/>
    <x v="0"/>
    <n v="29"/>
    <n v="121.1"/>
    <n v="116"/>
    <n v="20.59"/>
    <n v="186.4"/>
    <n v="100"/>
    <n v="15.84"/>
    <n v="241.7"/>
    <n v="75"/>
    <n v="10.88"/>
    <x v="3"/>
    <x v="3"/>
    <x v="3"/>
    <x v="1"/>
    <x v="0"/>
  </r>
  <r>
    <s v="CO"/>
    <x v="110"/>
    <s v="area_code_510"/>
    <x v="0"/>
    <x v="0"/>
    <n v="23"/>
    <n v="182.1"/>
    <n v="94"/>
    <n v="30.96"/>
    <n v="164.6"/>
    <n v="59"/>
    <n v="13.99"/>
    <n v="128.80000000000001"/>
    <n v="102"/>
    <n v="5.8"/>
    <x v="8"/>
    <x v="4"/>
    <x v="8"/>
    <x v="3"/>
    <x v="0"/>
  </r>
  <r>
    <s v="TX"/>
    <x v="53"/>
    <s v="area_code_415"/>
    <x v="0"/>
    <x v="1"/>
    <n v="0"/>
    <n v="109.6"/>
    <n v="88"/>
    <n v="18.63"/>
    <n v="137.6"/>
    <n v="108"/>
    <n v="11.7"/>
    <n v="159.69999999999999"/>
    <n v="121"/>
    <n v="7.19"/>
    <x v="34"/>
    <x v="1"/>
    <x v="34"/>
    <x v="2"/>
    <x v="0"/>
  </r>
  <r>
    <s v="NY"/>
    <x v="70"/>
    <s v="area_code_415"/>
    <x v="0"/>
    <x v="1"/>
    <n v="0"/>
    <n v="209.9"/>
    <n v="105"/>
    <n v="35.68"/>
    <n v="121.9"/>
    <n v="105"/>
    <n v="10.36"/>
    <n v="253.7"/>
    <n v="104"/>
    <n v="11.42"/>
    <x v="63"/>
    <x v="4"/>
    <x v="63"/>
    <x v="0"/>
    <x v="0"/>
  </r>
  <r>
    <s v="WY"/>
    <x v="111"/>
    <s v="area_code_415"/>
    <x v="0"/>
    <x v="1"/>
    <n v="0"/>
    <n v="213.9"/>
    <n v="88"/>
    <n v="36.36"/>
    <n v="239.8"/>
    <n v="119"/>
    <n v="20.38"/>
    <n v="148.69999999999999"/>
    <n v="71"/>
    <n v="6.69"/>
    <x v="52"/>
    <x v="17"/>
    <x v="52"/>
    <x v="2"/>
    <x v="0"/>
  </r>
  <r>
    <s v="UT"/>
    <x v="126"/>
    <s v="area_code_415"/>
    <x v="0"/>
    <x v="1"/>
    <n v="0"/>
    <n v="115.8"/>
    <n v="108"/>
    <n v="19.690000000000001"/>
    <n v="243.3"/>
    <n v="111"/>
    <n v="20.68"/>
    <n v="184.6"/>
    <n v="78"/>
    <n v="8.31"/>
    <x v="67"/>
    <x v="1"/>
    <x v="67"/>
    <x v="0"/>
    <x v="0"/>
  </r>
  <r>
    <s v="LA"/>
    <x v="65"/>
    <s v="area_code_510"/>
    <x v="0"/>
    <x v="0"/>
    <n v="30"/>
    <n v="276.60000000000002"/>
    <n v="99"/>
    <n v="47.02"/>
    <n v="220.1"/>
    <n v="113"/>
    <n v="18.71"/>
    <n v="177.9"/>
    <n v="95"/>
    <n v="8.01"/>
    <x v="52"/>
    <x v="3"/>
    <x v="52"/>
    <x v="2"/>
    <x v="0"/>
  </r>
  <r>
    <s v="NV"/>
    <x v="27"/>
    <s v="area_code_415"/>
    <x v="0"/>
    <x v="0"/>
    <n v="21"/>
    <n v="179.4"/>
    <n v="88"/>
    <n v="30.5"/>
    <n v="181.1"/>
    <n v="97"/>
    <n v="15.39"/>
    <n v="320.7"/>
    <n v="120"/>
    <n v="14.43"/>
    <x v="17"/>
    <x v="4"/>
    <x v="17"/>
    <x v="2"/>
    <x v="0"/>
  </r>
  <r>
    <s v="NC"/>
    <x v="59"/>
    <s v="area_code_510"/>
    <x v="0"/>
    <x v="1"/>
    <n v="0"/>
    <n v="187.3"/>
    <n v="84"/>
    <n v="31.84"/>
    <n v="270.8"/>
    <n v="95"/>
    <n v="23.02"/>
    <n v="206.4"/>
    <n v="68"/>
    <n v="9.2899999999999991"/>
    <x v="3"/>
    <x v="1"/>
    <x v="3"/>
    <x v="0"/>
    <x v="0"/>
  </r>
  <r>
    <s v="NC"/>
    <x v="168"/>
    <s v="area_code_408"/>
    <x v="0"/>
    <x v="1"/>
    <n v="0"/>
    <n v="201.2"/>
    <n v="128"/>
    <n v="34.200000000000003"/>
    <n v="227.2"/>
    <n v="100"/>
    <n v="19.309999999999999"/>
    <n v="145.80000000000001"/>
    <n v="91"/>
    <n v="6.56"/>
    <x v="80"/>
    <x v="0"/>
    <x v="80"/>
    <x v="2"/>
    <x v="0"/>
  </r>
  <r>
    <s v="WY"/>
    <x v="12"/>
    <s v="area_code_415"/>
    <x v="1"/>
    <x v="1"/>
    <n v="0"/>
    <n v="189.6"/>
    <n v="78"/>
    <n v="32.229999999999997"/>
    <n v="267.39999999999998"/>
    <n v="117"/>
    <n v="22.73"/>
    <n v="184.5"/>
    <n v="137"/>
    <n v="8.3000000000000007"/>
    <x v="125"/>
    <x v="3"/>
    <x v="125"/>
    <x v="0"/>
    <x v="0"/>
  </r>
  <r>
    <s v="TN"/>
    <x v="111"/>
    <s v="area_code_415"/>
    <x v="0"/>
    <x v="0"/>
    <n v="35"/>
    <n v="186.8"/>
    <n v="124"/>
    <n v="31.76"/>
    <n v="261"/>
    <n v="69"/>
    <n v="22.19"/>
    <n v="317.8"/>
    <n v="103"/>
    <n v="14.3"/>
    <x v="51"/>
    <x v="1"/>
    <x v="51"/>
    <x v="1"/>
    <x v="0"/>
  </r>
  <r>
    <s v="FL"/>
    <x v="64"/>
    <s v="area_code_415"/>
    <x v="0"/>
    <x v="0"/>
    <n v="31"/>
    <n v="153.5"/>
    <n v="83"/>
    <n v="26.1"/>
    <n v="219.1"/>
    <n v="96"/>
    <n v="18.62"/>
    <n v="237.4"/>
    <n v="76"/>
    <n v="10.68"/>
    <x v="37"/>
    <x v="4"/>
    <x v="37"/>
    <x v="1"/>
    <x v="0"/>
  </r>
  <r>
    <s v="PA"/>
    <x v="66"/>
    <s v="area_code_415"/>
    <x v="1"/>
    <x v="1"/>
    <n v="0"/>
    <n v="230.9"/>
    <n v="132"/>
    <n v="39.25"/>
    <n v="243.2"/>
    <n v="99"/>
    <n v="20.67"/>
    <n v="182.4"/>
    <n v="57"/>
    <n v="8.2100000000000009"/>
    <x v="34"/>
    <x v="5"/>
    <x v="34"/>
    <x v="1"/>
    <x v="1"/>
  </r>
  <r>
    <s v="WV"/>
    <x v="88"/>
    <s v="area_code_415"/>
    <x v="0"/>
    <x v="0"/>
    <n v="26"/>
    <n v="244.9"/>
    <n v="150"/>
    <n v="41.63"/>
    <n v="118"/>
    <n v="138"/>
    <n v="10.029999999999999"/>
    <n v="236"/>
    <n v="91"/>
    <n v="10.62"/>
    <x v="126"/>
    <x v="4"/>
    <x v="126"/>
    <x v="2"/>
    <x v="0"/>
  </r>
  <r>
    <s v="NJ"/>
    <x v="9"/>
    <s v="area_code_415"/>
    <x v="0"/>
    <x v="1"/>
    <n v="0"/>
    <n v="230.9"/>
    <n v="93"/>
    <n v="39.25"/>
    <n v="223"/>
    <n v="78"/>
    <n v="18.96"/>
    <n v="157.80000000000001"/>
    <n v="101"/>
    <n v="7.1"/>
    <x v="84"/>
    <x v="5"/>
    <x v="84"/>
    <x v="3"/>
    <x v="0"/>
  </r>
  <r>
    <s v="MT"/>
    <x v="96"/>
    <s v="area_code_415"/>
    <x v="0"/>
    <x v="1"/>
    <n v="0"/>
    <n v="187.1"/>
    <n v="104"/>
    <n v="31.81"/>
    <n v="250.2"/>
    <n v="117"/>
    <n v="21.27"/>
    <n v="144.9"/>
    <n v="81"/>
    <n v="6.52"/>
    <x v="34"/>
    <x v="0"/>
    <x v="34"/>
    <x v="0"/>
    <x v="0"/>
  </r>
  <r>
    <s v="MN"/>
    <x v="92"/>
    <s v="area_code_415"/>
    <x v="0"/>
    <x v="1"/>
    <n v="0"/>
    <n v="170.7"/>
    <n v="54"/>
    <n v="29.02"/>
    <n v="191.1"/>
    <n v="108"/>
    <n v="16.239999999999998"/>
    <n v="214.6"/>
    <n v="107"/>
    <n v="9.66"/>
    <x v="64"/>
    <x v="4"/>
    <x v="64"/>
    <x v="0"/>
    <x v="0"/>
  </r>
  <r>
    <s v="WI"/>
    <x v="44"/>
    <s v="area_code_415"/>
    <x v="1"/>
    <x v="0"/>
    <n v="28"/>
    <n v="126.9"/>
    <n v="97"/>
    <n v="21.57"/>
    <n v="166.9"/>
    <n v="102"/>
    <n v="14.19"/>
    <n v="145.19999999999999"/>
    <n v="77"/>
    <n v="6.53"/>
    <x v="82"/>
    <x v="0"/>
    <x v="82"/>
    <x v="5"/>
    <x v="1"/>
  </r>
  <r>
    <s v="ID"/>
    <x v="16"/>
    <s v="area_code_510"/>
    <x v="0"/>
    <x v="1"/>
    <n v="0"/>
    <n v="189.5"/>
    <n v="112"/>
    <n v="32.22"/>
    <n v="207"/>
    <n v="95"/>
    <n v="17.600000000000001"/>
    <n v="214.1"/>
    <n v="91"/>
    <n v="9.6300000000000008"/>
    <x v="29"/>
    <x v="2"/>
    <x v="29"/>
    <x v="1"/>
    <x v="0"/>
  </r>
  <r>
    <s v="MA"/>
    <x v="76"/>
    <s v="area_code_408"/>
    <x v="1"/>
    <x v="1"/>
    <n v="0"/>
    <n v="176.9"/>
    <n v="110"/>
    <n v="30.07"/>
    <n v="167.9"/>
    <n v="100"/>
    <n v="14.27"/>
    <n v="182.2"/>
    <n v="138"/>
    <n v="8.1999999999999993"/>
    <x v="18"/>
    <x v="5"/>
    <x v="18"/>
    <x v="0"/>
    <x v="1"/>
  </r>
  <r>
    <s v="MT"/>
    <x v="96"/>
    <s v="area_code_510"/>
    <x v="0"/>
    <x v="1"/>
    <n v="0"/>
    <n v="169.4"/>
    <n v="107"/>
    <n v="28.8"/>
    <n v="197.2"/>
    <n v="71"/>
    <n v="16.760000000000002"/>
    <n v="202.2"/>
    <n v="79"/>
    <n v="9.1"/>
    <x v="85"/>
    <x v="4"/>
    <x v="85"/>
    <x v="0"/>
    <x v="0"/>
  </r>
  <r>
    <s v="AL"/>
    <x v="72"/>
    <s v="area_code_415"/>
    <x v="0"/>
    <x v="0"/>
    <n v="20"/>
    <n v="254.4"/>
    <n v="133"/>
    <n v="43.25"/>
    <n v="161.69999999999999"/>
    <n v="96"/>
    <n v="13.74"/>
    <n v="251.4"/>
    <n v="91"/>
    <n v="11.31"/>
    <x v="26"/>
    <x v="4"/>
    <x v="26"/>
    <x v="1"/>
    <x v="0"/>
  </r>
  <r>
    <s v="ND"/>
    <x v="29"/>
    <s v="area_code_510"/>
    <x v="1"/>
    <x v="0"/>
    <n v="24"/>
    <n v="127.7"/>
    <n v="54"/>
    <n v="21.71"/>
    <n v="215"/>
    <n v="105"/>
    <n v="18.28"/>
    <n v="234.3"/>
    <n v="84"/>
    <n v="10.54"/>
    <x v="41"/>
    <x v="4"/>
    <x v="41"/>
    <x v="2"/>
    <x v="0"/>
  </r>
  <r>
    <s v="LA"/>
    <x v="85"/>
    <s v="area_code_415"/>
    <x v="0"/>
    <x v="0"/>
    <n v="26"/>
    <n v="170.5"/>
    <n v="107"/>
    <n v="28.99"/>
    <n v="217.2"/>
    <n v="77"/>
    <n v="18.46"/>
    <n v="225.7"/>
    <n v="71"/>
    <n v="10.16"/>
    <x v="109"/>
    <x v="1"/>
    <x v="109"/>
    <x v="8"/>
    <x v="0"/>
  </r>
  <r>
    <s v="ND"/>
    <x v="120"/>
    <s v="area_code_408"/>
    <x v="1"/>
    <x v="1"/>
    <n v="0"/>
    <n v="219.1"/>
    <n v="100"/>
    <n v="37.25"/>
    <n v="242.9"/>
    <n v="90"/>
    <n v="20.65"/>
    <n v="168.9"/>
    <n v="101"/>
    <n v="7.6"/>
    <x v="3"/>
    <x v="4"/>
    <x v="3"/>
    <x v="2"/>
    <x v="0"/>
  </r>
  <r>
    <s v="WV"/>
    <x v="126"/>
    <s v="area_code_415"/>
    <x v="1"/>
    <x v="1"/>
    <n v="0"/>
    <n v="161.9"/>
    <n v="138"/>
    <n v="27.52"/>
    <n v="200.9"/>
    <n v="114"/>
    <n v="17.079999999999998"/>
    <n v="134"/>
    <n v="134"/>
    <n v="6.03"/>
    <x v="85"/>
    <x v="4"/>
    <x v="85"/>
    <x v="0"/>
    <x v="0"/>
  </r>
  <r>
    <s v="WI"/>
    <x v="104"/>
    <s v="area_code_510"/>
    <x v="0"/>
    <x v="0"/>
    <n v="27"/>
    <n v="241.7"/>
    <n v="87"/>
    <n v="41.09"/>
    <n v="142"/>
    <n v="101"/>
    <n v="12.07"/>
    <n v="288.89999999999998"/>
    <n v="68"/>
    <n v="13"/>
    <x v="27"/>
    <x v="4"/>
    <x v="27"/>
    <x v="0"/>
    <x v="0"/>
  </r>
  <r>
    <s v="KS"/>
    <x v="78"/>
    <s v="area_code_408"/>
    <x v="1"/>
    <x v="1"/>
    <n v="0"/>
    <n v="62.8"/>
    <n v="124"/>
    <n v="10.68"/>
    <n v="170.4"/>
    <n v="66"/>
    <n v="14.48"/>
    <n v="280.2"/>
    <n v="78"/>
    <n v="12.61"/>
    <x v="27"/>
    <x v="4"/>
    <x v="27"/>
    <x v="3"/>
    <x v="0"/>
  </r>
  <r>
    <s v="MO"/>
    <x v="0"/>
    <s v="area_code_415"/>
    <x v="0"/>
    <x v="0"/>
    <n v="22"/>
    <n v="281.10000000000002"/>
    <n v="83"/>
    <n v="47.79"/>
    <n v="143.69999999999999"/>
    <n v="130"/>
    <n v="12.21"/>
    <n v="239.4"/>
    <n v="128"/>
    <n v="10.77"/>
    <x v="7"/>
    <x v="6"/>
    <x v="7"/>
    <x v="0"/>
    <x v="0"/>
  </r>
  <r>
    <s v="PA"/>
    <x v="155"/>
    <s v="area_code_415"/>
    <x v="0"/>
    <x v="1"/>
    <n v="0"/>
    <n v="228.2"/>
    <n v="70"/>
    <n v="38.79"/>
    <n v="263.7"/>
    <n v="80"/>
    <n v="22.41"/>
    <n v="142.6"/>
    <n v="60"/>
    <n v="6.42"/>
    <x v="85"/>
    <x v="1"/>
    <x v="85"/>
    <x v="3"/>
    <x v="0"/>
  </r>
  <r>
    <s v="NJ"/>
    <x v="114"/>
    <s v="area_code_408"/>
    <x v="0"/>
    <x v="1"/>
    <n v="0"/>
    <n v="265.60000000000002"/>
    <n v="86"/>
    <n v="45.15"/>
    <n v="208.8"/>
    <n v="102"/>
    <n v="17.75"/>
    <n v="182.5"/>
    <n v="105"/>
    <n v="8.2100000000000009"/>
    <x v="22"/>
    <x v="3"/>
    <x v="22"/>
    <x v="2"/>
    <x v="1"/>
  </r>
  <r>
    <s v="AL"/>
    <x v="53"/>
    <s v="area_code_415"/>
    <x v="0"/>
    <x v="1"/>
    <n v="0"/>
    <n v="214.9"/>
    <n v="97"/>
    <n v="36.53"/>
    <n v="117.8"/>
    <n v="117"/>
    <n v="10.01"/>
    <n v="133.69999999999999"/>
    <n v="78"/>
    <n v="6.02"/>
    <x v="23"/>
    <x v="5"/>
    <x v="23"/>
    <x v="2"/>
    <x v="0"/>
  </r>
  <r>
    <s v="ME"/>
    <x v="1"/>
    <s v="area_code_510"/>
    <x v="0"/>
    <x v="1"/>
    <n v="0"/>
    <n v="110.5"/>
    <n v="79"/>
    <n v="18.79"/>
    <n v="223.2"/>
    <n v="111"/>
    <n v="18.97"/>
    <n v="169.5"/>
    <n v="64"/>
    <n v="7.63"/>
    <x v="26"/>
    <x v="0"/>
    <x v="26"/>
    <x v="3"/>
    <x v="0"/>
  </r>
  <r>
    <s v="AZ"/>
    <x v="73"/>
    <s v="area_code_415"/>
    <x v="1"/>
    <x v="0"/>
    <n v="45"/>
    <n v="281.10000000000002"/>
    <n v="88"/>
    <n v="47.79"/>
    <n v="198"/>
    <n v="103"/>
    <n v="16.829999999999998"/>
    <n v="94.3"/>
    <n v="76"/>
    <n v="4.24"/>
    <x v="4"/>
    <x v="0"/>
    <x v="4"/>
    <x v="1"/>
    <x v="0"/>
  </r>
  <r>
    <s v="VT"/>
    <x v="45"/>
    <s v="area_code_415"/>
    <x v="0"/>
    <x v="1"/>
    <n v="0"/>
    <n v="137.80000000000001"/>
    <n v="86"/>
    <n v="23.43"/>
    <n v="286.3"/>
    <n v="76"/>
    <n v="24.34"/>
    <n v="167"/>
    <n v="77"/>
    <n v="7.52"/>
    <x v="71"/>
    <x v="0"/>
    <x v="71"/>
    <x v="2"/>
    <x v="0"/>
  </r>
  <r>
    <s v="NV"/>
    <x v="155"/>
    <s v="area_code_510"/>
    <x v="1"/>
    <x v="0"/>
    <n v="33"/>
    <n v="271.5"/>
    <n v="98"/>
    <n v="46.16"/>
    <n v="253.4"/>
    <n v="102"/>
    <n v="21.54"/>
    <n v="165.4"/>
    <n v="85"/>
    <n v="7.44"/>
    <x v="45"/>
    <x v="5"/>
    <x v="45"/>
    <x v="0"/>
    <x v="1"/>
  </r>
  <r>
    <s v="HI"/>
    <x v="15"/>
    <s v="area_code_408"/>
    <x v="0"/>
    <x v="1"/>
    <n v="0"/>
    <n v="187.3"/>
    <n v="118"/>
    <n v="31.84"/>
    <n v="239.7"/>
    <n v="90"/>
    <n v="20.37"/>
    <n v="167.5"/>
    <n v="108"/>
    <n v="7.54"/>
    <x v="127"/>
    <x v="5"/>
    <x v="127"/>
    <x v="0"/>
    <x v="0"/>
  </r>
  <r>
    <s v="DE"/>
    <x v="73"/>
    <s v="area_code_415"/>
    <x v="0"/>
    <x v="1"/>
    <n v="0"/>
    <n v="197"/>
    <n v="84"/>
    <n v="33.49"/>
    <n v="269.3"/>
    <n v="105"/>
    <n v="22.89"/>
    <n v="158.9"/>
    <n v="105"/>
    <n v="7.15"/>
    <x v="81"/>
    <x v="4"/>
    <x v="81"/>
    <x v="0"/>
    <x v="0"/>
  </r>
  <r>
    <s v="AZ"/>
    <x v="48"/>
    <s v="area_code_415"/>
    <x v="0"/>
    <x v="0"/>
    <n v="32"/>
    <n v="180.4"/>
    <n v="89"/>
    <n v="30.67"/>
    <n v="129.4"/>
    <n v="124"/>
    <n v="11"/>
    <n v="166.9"/>
    <n v="124"/>
    <n v="7.51"/>
    <x v="80"/>
    <x v="5"/>
    <x v="80"/>
    <x v="0"/>
    <x v="0"/>
  </r>
  <r>
    <s v="VA"/>
    <x v="90"/>
    <s v="area_code_408"/>
    <x v="1"/>
    <x v="1"/>
    <n v="0"/>
    <n v="148.5"/>
    <n v="126"/>
    <n v="25.25"/>
    <n v="219.4"/>
    <n v="125"/>
    <n v="18.649999999999999"/>
    <n v="198.5"/>
    <n v="121"/>
    <n v="8.93"/>
    <x v="25"/>
    <x v="2"/>
    <x v="25"/>
    <x v="0"/>
    <x v="1"/>
  </r>
  <r>
    <s v="GA"/>
    <x v="29"/>
    <s v="area_code_415"/>
    <x v="0"/>
    <x v="0"/>
    <n v="22"/>
    <n v="197.1"/>
    <n v="113"/>
    <n v="33.51"/>
    <n v="259.39999999999998"/>
    <n v="95"/>
    <n v="22.05"/>
    <n v="134.69999999999999"/>
    <n v="135"/>
    <n v="6.06"/>
    <x v="28"/>
    <x v="1"/>
    <x v="28"/>
    <x v="2"/>
    <x v="0"/>
  </r>
  <r>
    <s v="AZ"/>
    <x v="108"/>
    <s v="area_code_415"/>
    <x v="0"/>
    <x v="0"/>
    <n v="26"/>
    <n v="153.69999999999999"/>
    <n v="115"/>
    <n v="26.13"/>
    <n v="137.80000000000001"/>
    <n v="146"/>
    <n v="11.71"/>
    <n v="213.5"/>
    <n v="104"/>
    <n v="9.61"/>
    <x v="128"/>
    <x v="1"/>
    <x v="128"/>
    <x v="0"/>
    <x v="0"/>
  </r>
  <r>
    <s v="MN"/>
    <x v="39"/>
    <s v="area_code_415"/>
    <x v="0"/>
    <x v="0"/>
    <n v="27"/>
    <n v="261.3"/>
    <n v="96"/>
    <n v="44.42"/>
    <n v="220.9"/>
    <n v="101"/>
    <n v="18.78"/>
    <n v="179.4"/>
    <n v="97"/>
    <n v="8.07"/>
    <x v="61"/>
    <x v="5"/>
    <x v="61"/>
    <x v="0"/>
    <x v="0"/>
  </r>
  <r>
    <s v="ME"/>
    <x v="65"/>
    <s v="area_code_510"/>
    <x v="0"/>
    <x v="1"/>
    <n v="0"/>
    <n v="246.2"/>
    <n v="102"/>
    <n v="41.85"/>
    <n v="202.4"/>
    <n v="134"/>
    <n v="17.2"/>
    <n v="180.1"/>
    <n v="95"/>
    <n v="8.1"/>
    <x v="27"/>
    <x v="1"/>
    <x v="27"/>
    <x v="0"/>
    <x v="0"/>
  </r>
  <r>
    <s v="FL"/>
    <x v="2"/>
    <s v="area_code_510"/>
    <x v="0"/>
    <x v="1"/>
    <n v="0"/>
    <n v="191"/>
    <n v="88"/>
    <n v="32.47"/>
    <n v="318.8"/>
    <n v="119"/>
    <n v="27.1"/>
    <n v="247.3"/>
    <n v="79"/>
    <n v="11.13"/>
    <x v="94"/>
    <x v="4"/>
    <x v="94"/>
    <x v="1"/>
    <x v="0"/>
  </r>
  <r>
    <s v="WA"/>
    <x v="169"/>
    <s v="area_code_408"/>
    <x v="0"/>
    <x v="1"/>
    <n v="0"/>
    <n v="208.3"/>
    <n v="86"/>
    <n v="35.409999999999997"/>
    <n v="253.6"/>
    <n v="89"/>
    <n v="21.56"/>
    <n v="291"/>
    <n v="86"/>
    <n v="13.1"/>
    <x v="44"/>
    <x v="0"/>
    <x v="44"/>
    <x v="0"/>
    <x v="0"/>
  </r>
  <r>
    <s v="MT"/>
    <x v="145"/>
    <s v="area_code_415"/>
    <x v="0"/>
    <x v="1"/>
    <n v="0"/>
    <n v="253"/>
    <n v="73"/>
    <n v="43.01"/>
    <n v="219.3"/>
    <n v="78"/>
    <n v="18.64"/>
    <n v="210.8"/>
    <n v="89"/>
    <n v="9.49"/>
    <x v="52"/>
    <x v="4"/>
    <x v="52"/>
    <x v="1"/>
    <x v="0"/>
  </r>
  <r>
    <s v="AL"/>
    <x v="82"/>
    <s v="area_code_408"/>
    <x v="0"/>
    <x v="1"/>
    <n v="0"/>
    <n v="202.3"/>
    <n v="87"/>
    <n v="34.39"/>
    <n v="201.5"/>
    <n v="111"/>
    <n v="17.13"/>
    <n v="101.7"/>
    <n v="82"/>
    <n v="4.58"/>
    <x v="36"/>
    <x v="4"/>
    <x v="36"/>
    <x v="1"/>
    <x v="0"/>
  </r>
  <r>
    <s v="GA"/>
    <x v="80"/>
    <s v="area_code_415"/>
    <x v="0"/>
    <x v="0"/>
    <n v="30"/>
    <n v="127.1"/>
    <n v="89"/>
    <n v="21.61"/>
    <n v="172.1"/>
    <n v="116"/>
    <n v="14.63"/>
    <n v="194.6"/>
    <n v="111"/>
    <n v="8.76"/>
    <x v="47"/>
    <x v="0"/>
    <x v="47"/>
    <x v="0"/>
    <x v="0"/>
  </r>
  <r>
    <s v="DE"/>
    <x v="158"/>
    <s v="area_code_510"/>
    <x v="0"/>
    <x v="0"/>
    <n v="17"/>
    <n v="186.9"/>
    <n v="94"/>
    <n v="31.77"/>
    <n v="240"/>
    <n v="138"/>
    <n v="20.399999999999999"/>
    <n v="200.9"/>
    <n v="64"/>
    <n v="9.0399999999999991"/>
    <x v="41"/>
    <x v="0"/>
    <x v="41"/>
    <x v="0"/>
    <x v="0"/>
  </r>
  <r>
    <s v="NE"/>
    <x v="106"/>
    <s v="area_code_510"/>
    <x v="0"/>
    <x v="1"/>
    <n v="0"/>
    <n v="194"/>
    <n v="118"/>
    <n v="32.979999999999997"/>
    <n v="242"/>
    <n v="114"/>
    <n v="20.57"/>
    <n v="146.30000000000001"/>
    <n v="108"/>
    <n v="6.58"/>
    <x v="47"/>
    <x v="4"/>
    <x v="47"/>
    <x v="0"/>
    <x v="0"/>
  </r>
  <r>
    <s v="FL"/>
    <x v="142"/>
    <s v="area_code_510"/>
    <x v="0"/>
    <x v="1"/>
    <n v="0"/>
    <n v="234.8"/>
    <n v="89"/>
    <n v="39.92"/>
    <n v="106.8"/>
    <n v="131"/>
    <n v="9.08"/>
    <n v="178.5"/>
    <n v="122"/>
    <n v="8.0299999999999994"/>
    <x v="79"/>
    <x v="3"/>
    <x v="79"/>
    <x v="1"/>
    <x v="0"/>
  </r>
  <r>
    <s v="AK"/>
    <x v="166"/>
    <s v="area_code_510"/>
    <x v="0"/>
    <x v="1"/>
    <n v="0"/>
    <n v="123.7"/>
    <n v="96"/>
    <n v="21.03"/>
    <n v="103"/>
    <n v="80"/>
    <n v="8.76"/>
    <n v="189.4"/>
    <n v="82"/>
    <n v="8.52"/>
    <x v="67"/>
    <x v="4"/>
    <x v="67"/>
    <x v="0"/>
    <x v="0"/>
  </r>
  <r>
    <s v="WI"/>
    <x v="123"/>
    <s v="area_code_510"/>
    <x v="0"/>
    <x v="1"/>
    <n v="0"/>
    <n v="173.9"/>
    <n v="103"/>
    <n v="29.56"/>
    <n v="276.39999999999998"/>
    <n v="83"/>
    <n v="23.49"/>
    <n v="190.8"/>
    <n v="113"/>
    <n v="8.59"/>
    <x v="107"/>
    <x v="1"/>
    <x v="107"/>
    <x v="1"/>
    <x v="0"/>
  </r>
  <r>
    <s v="WA"/>
    <x v="3"/>
    <s v="area_code_510"/>
    <x v="0"/>
    <x v="0"/>
    <n v="41"/>
    <n v="130.9"/>
    <n v="115"/>
    <n v="22.25"/>
    <n v="203.4"/>
    <n v="110"/>
    <n v="17.29"/>
    <n v="171.7"/>
    <n v="68"/>
    <n v="7.73"/>
    <x v="70"/>
    <x v="4"/>
    <x v="70"/>
    <x v="0"/>
    <x v="0"/>
  </r>
  <r>
    <s v="KY"/>
    <x v="3"/>
    <s v="area_code_415"/>
    <x v="0"/>
    <x v="1"/>
    <n v="0"/>
    <n v="314.60000000000002"/>
    <n v="102"/>
    <n v="53.48"/>
    <n v="169.8"/>
    <n v="86"/>
    <n v="14.43"/>
    <n v="285.10000000000002"/>
    <n v="100"/>
    <n v="12.83"/>
    <x v="16"/>
    <x v="0"/>
    <x v="16"/>
    <x v="2"/>
    <x v="1"/>
  </r>
  <r>
    <s v="OH"/>
    <x v="82"/>
    <s v="area_code_510"/>
    <x v="0"/>
    <x v="1"/>
    <n v="0"/>
    <n v="227.9"/>
    <n v="78"/>
    <n v="38.74"/>
    <n v="207.5"/>
    <n v="115"/>
    <n v="17.64"/>
    <n v="211.7"/>
    <n v="100"/>
    <n v="9.5299999999999994"/>
    <x v="47"/>
    <x v="1"/>
    <x v="47"/>
    <x v="0"/>
    <x v="0"/>
  </r>
  <r>
    <s v="UT"/>
    <x v="170"/>
    <s v="area_code_510"/>
    <x v="0"/>
    <x v="1"/>
    <n v="0"/>
    <n v="95.5"/>
    <n v="92"/>
    <n v="16.239999999999998"/>
    <n v="163.69999999999999"/>
    <n v="63"/>
    <n v="13.91"/>
    <n v="264.2"/>
    <n v="118"/>
    <n v="11.89"/>
    <x v="2"/>
    <x v="3"/>
    <x v="2"/>
    <x v="2"/>
    <x v="0"/>
  </r>
  <r>
    <s v="NM"/>
    <x v="160"/>
    <s v="area_code_408"/>
    <x v="0"/>
    <x v="1"/>
    <n v="0"/>
    <n v="185.3"/>
    <n v="127"/>
    <n v="31.5"/>
    <n v="208"/>
    <n v="73"/>
    <n v="17.68"/>
    <n v="206.1"/>
    <n v="124"/>
    <n v="9.27"/>
    <x v="127"/>
    <x v="0"/>
    <x v="127"/>
    <x v="0"/>
    <x v="0"/>
  </r>
  <r>
    <s v="MN"/>
    <x v="50"/>
    <s v="area_code_415"/>
    <x v="0"/>
    <x v="1"/>
    <n v="0"/>
    <n v="146.30000000000001"/>
    <n v="133"/>
    <n v="24.87"/>
    <n v="202.7"/>
    <n v="95"/>
    <n v="17.23"/>
    <n v="234.7"/>
    <n v="103"/>
    <n v="10.56"/>
    <x v="67"/>
    <x v="0"/>
    <x v="67"/>
    <x v="0"/>
    <x v="0"/>
  </r>
  <r>
    <s v="WV"/>
    <x v="73"/>
    <s v="area_code_510"/>
    <x v="0"/>
    <x v="0"/>
    <n v="16"/>
    <n v="184"/>
    <n v="99"/>
    <n v="31.28"/>
    <n v="76.400000000000006"/>
    <n v="134"/>
    <n v="6.49"/>
    <n v="185.1"/>
    <n v="96"/>
    <n v="8.33"/>
    <x v="8"/>
    <x v="0"/>
    <x v="8"/>
    <x v="2"/>
    <x v="0"/>
  </r>
  <r>
    <s v="MN"/>
    <x v="62"/>
    <s v="area_code_415"/>
    <x v="0"/>
    <x v="1"/>
    <n v="0"/>
    <n v="105.8"/>
    <n v="110"/>
    <n v="17.989999999999998"/>
    <n v="43.9"/>
    <n v="88"/>
    <n v="3.73"/>
    <n v="189.6"/>
    <n v="87"/>
    <n v="8.5299999999999994"/>
    <x v="67"/>
    <x v="1"/>
    <x v="67"/>
    <x v="1"/>
    <x v="0"/>
  </r>
  <r>
    <s v="PA"/>
    <x v="16"/>
    <s v="area_code_510"/>
    <x v="0"/>
    <x v="0"/>
    <n v="24"/>
    <n v="149.4"/>
    <n v="74"/>
    <n v="25.4"/>
    <n v="123.9"/>
    <n v="72"/>
    <n v="10.53"/>
    <n v="174.3"/>
    <n v="84"/>
    <n v="7.84"/>
    <x v="3"/>
    <x v="3"/>
    <x v="3"/>
    <x v="0"/>
    <x v="0"/>
  </r>
  <r>
    <s v="MO"/>
    <x v="9"/>
    <s v="area_code_415"/>
    <x v="0"/>
    <x v="1"/>
    <n v="0"/>
    <n v="172.1"/>
    <n v="105"/>
    <n v="29.26"/>
    <n v="211.7"/>
    <n v="99"/>
    <n v="17.989999999999998"/>
    <n v="182.2"/>
    <n v="105"/>
    <n v="8.1999999999999993"/>
    <x v="43"/>
    <x v="3"/>
    <x v="43"/>
    <x v="0"/>
    <x v="0"/>
  </r>
  <r>
    <s v="FL"/>
    <x v="118"/>
    <s v="area_code_415"/>
    <x v="0"/>
    <x v="1"/>
    <n v="0"/>
    <n v="119.1"/>
    <n v="117"/>
    <n v="20.25"/>
    <n v="287.7"/>
    <n v="136"/>
    <n v="24.45"/>
    <n v="223"/>
    <n v="100"/>
    <n v="10.039999999999999"/>
    <x v="1"/>
    <x v="4"/>
    <x v="1"/>
    <x v="1"/>
    <x v="0"/>
  </r>
  <r>
    <s v="HI"/>
    <x v="32"/>
    <s v="area_code_415"/>
    <x v="0"/>
    <x v="1"/>
    <n v="0"/>
    <n v="194.2"/>
    <n v="147"/>
    <n v="33.01"/>
    <n v="173.4"/>
    <n v="87"/>
    <n v="14.74"/>
    <n v="268.7"/>
    <n v="114"/>
    <n v="12.09"/>
    <x v="129"/>
    <x v="5"/>
    <x v="129"/>
    <x v="2"/>
    <x v="0"/>
  </r>
  <r>
    <s v="ME"/>
    <x v="64"/>
    <s v="area_code_510"/>
    <x v="0"/>
    <x v="1"/>
    <n v="0"/>
    <n v="198.8"/>
    <n v="56"/>
    <n v="33.799999999999997"/>
    <n v="230.1"/>
    <n v="73"/>
    <n v="19.559999999999999"/>
    <n v="119.8"/>
    <n v="81"/>
    <n v="5.39"/>
    <x v="79"/>
    <x v="0"/>
    <x v="79"/>
    <x v="2"/>
    <x v="0"/>
  </r>
  <r>
    <s v="CO"/>
    <x v="4"/>
    <s v="area_code_408"/>
    <x v="1"/>
    <x v="1"/>
    <n v="0"/>
    <n v="167.7"/>
    <n v="94"/>
    <n v="28.51"/>
    <n v="93.7"/>
    <n v="121"/>
    <n v="7.96"/>
    <n v="241.3"/>
    <n v="115"/>
    <n v="10.86"/>
    <x v="83"/>
    <x v="8"/>
    <x v="83"/>
    <x v="3"/>
    <x v="1"/>
  </r>
  <r>
    <s v="NH"/>
    <x v="105"/>
    <s v="area_code_415"/>
    <x v="0"/>
    <x v="1"/>
    <n v="0"/>
    <n v="202.2"/>
    <n v="86"/>
    <n v="34.369999999999997"/>
    <n v="216.8"/>
    <n v="93"/>
    <n v="18.43"/>
    <n v="239.4"/>
    <n v="99"/>
    <n v="10.77"/>
    <x v="23"/>
    <x v="5"/>
    <x v="23"/>
    <x v="2"/>
    <x v="0"/>
  </r>
  <r>
    <s v="SC"/>
    <x v="137"/>
    <s v="area_code_408"/>
    <x v="0"/>
    <x v="1"/>
    <n v="0"/>
    <n v="322.5"/>
    <n v="106"/>
    <n v="54.83"/>
    <n v="204.6"/>
    <n v="93"/>
    <n v="17.39"/>
    <n v="186.2"/>
    <n v="128"/>
    <n v="8.3800000000000008"/>
    <x v="27"/>
    <x v="4"/>
    <x v="27"/>
    <x v="2"/>
    <x v="1"/>
  </r>
  <r>
    <s v="IN"/>
    <x v="108"/>
    <s v="area_code_510"/>
    <x v="0"/>
    <x v="1"/>
    <n v="0"/>
    <n v="216.2"/>
    <n v="107"/>
    <n v="36.75"/>
    <n v="215.6"/>
    <n v="84"/>
    <n v="18.329999999999998"/>
    <n v="138.4"/>
    <n v="127"/>
    <n v="6.23"/>
    <x v="39"/>
    <x v="0"/>
    <x v="39"/>
    <x v="1"/>
    <x v="0"/>
  </r>
  <r>
    <s v="FL"/>
    <x v="130"/>
    <s v="area_code_415"/>
    <x v="0"/>
    <x v="1"/>
    <n v="0"/>
    <n v="76.400000000000006"/>
    <n v="116"/>
    <n v="12.99"/>
    <n v="115.6"/>
    <n v="74"/>
    <n v="9.83"/>
    <n v="226.3"/>
    <n v="94"/>
    <n v="10.18"/>
    <x v="27"/>
    <x v="0"/>
    <x v="27"/>
    <x v="3"/>
    <x v="0"/>
  </r>
  <r>
    <s v="GA"/>
    <x v="168"/>
    <s v="area_code_510"/>
    <x v="0"/>
    <x v="1"/>
    <n v="0"/>
    <n v="72.7"/>
    <n v="75"/>
    <n v="12.36"/>
    <n v="208.6"/>
    <n v="117"/>
    <n v="17.73"/>
    <n v="65.8"/>
    <n v="71"/>
    <n v="2.96"/>
    <x v="79"/>
    <x v="0"/>
    <x v="79"/>
    <x v="0"/>
    <x v="0"/>
  </r>
  <r>
    <s v="IL"/>
    <x v="40"/>
    <s v="area_code_415"/>
    <x v="0"/>
    <x v="0"/>
    <n v="31"/>
    <n v="210.4"/>
    <n v="100"/>
    <n v="35.770000000000003"/>
    <n v="225.5"/>
    <n v="97"/>
    <n v="19.170000000000002"/>
    <n v="168.7"/>
    <n v="120"/>
    <n v="7.59"/>
    <x v="84"/>
    <x v="4"/>
    <x v="84"/>
    <x v="1"/>
    <x v="0"/>
  </r>
  <r>
    <s v="NC"/>
    <x v="32"/>
    <s v="area_code_510"/>
    <x v="1"/>
    <x v="0"/>
    <n v="33"/>
    <n v="127.2"/>
    <n v="93"/>
    <n v="21.62"/>
    <n v="162.9"/>
    <n v="104"/>
    <n v="13.85"/>
    <n v="247.4"/>
    <n v="109"/>
    <n v="11.13"/>
    <x v="111"/>
    <x v="15"/>
    <x v="111"/>
    <x v="1"/>
    <x v="0"/>
  </r>
  <r>
    <s v="VT"/>
    <x v="0"/>
    <s v="area_code_510"/>
    <x v="0"/>
    <x v="0"/>
    <n v="28"/>
    <n v="201.8"/>
    <n v="79"/>
    <n v="34.31"/>
    <n v="304.89999999999998"/>
    <n v="128"/>
    <n v="25.92"/>
    <n v="225.6"/>
    <n v="133"/>
    <n v="10.15"/>
    <x v="78"/>
    <x v="10"/>
    <x v="78"/>
    <x v="0"/>
    <x v="0"/>
  </r>
  <r>
    <s v="VT"/>
    <x v="18"/>
    <s v="area_code_408"/>
    <x v="0"/>
    <x v="1"/>
    <n v="0"/>
    <n v="99.3"/>
    <n v="112"/>
    <n v="16.88"/>
    <n v="270.5"/>
    <n v="136"/>
    <n v="22.99"/>
    <n v="225.3"/>
    <n v="94"/>
    <n v="10.14"/>
    <x v="62"/>
    <x v="3"/>
    <x v="62"/>
    <x v="3"/>
    <x v="0"/>
  </r>
  <r>
    <s v="NV"/>
    <x v="16"/>
    <s v="area_code_415"/>
    <x v="0"/>
    <x v="1"/>
    <n v="0"/>
    <n v="239.2"/>
    <n v="114"/>
    <n v="40.659999999999997"/>
    <n v="150"/>
    <n v="115"/>
    <n v="12.75"/>
    <n v="160.80000000000001"/>
    <n v="81"/>
    <n v="7.24"/>
    <x v="19"/>
    <x v="5"/>
    <x v="19"/>
    <x v="5"/>
    <x v="0"/>
  </r>
  <r>
    <s v="OR"/>
    <x v="93"/>
    <s v="area_code_415"/>
    <x v="1"/>
    <x v="1"/>
    <n v="0"/>
    <n v="120.9"/>
    <n v="58"/>
    <n v="20.55"/>
    <n v="235"/>
    <n v="88"/>
    <n v="19.98"/>
    <n v="95.1"/>
    <n v="130"/>
    <n v="4.28"/>
    <x v="37"/>
    <x v="12"/>
    <x v="37"/>
    <x v="2"/>
    <x v="0"/>
  </r>
  <r>
    <s v="AL"/>
    <x v="147"/>
    <s v="area_code_408"/>
    <x v="0"/>
    <x v="1"/>
    <n v="0"/>
    <n v="224.7"/>
    <n v="81"/>
    <n v="38.200000000000003"/>
    <n v="129.4"/>
    <n v="112"/>
    <n v="11"/>
    <n v="167.6"/>
    <n v="109"/>
    <n v="7.54"/>
    <x v="74"/>
    <x v="3"/>
    <x v="74"/>
    <x v="0"/>
    <x v="0"/>
  </r>
  <r>
    <s v="ND"/>
    <x v="117"/>
    <s v="area_code_408"/>
    <x v="0"/>
    <x v="0"/>
    <n v="19"/>
    <n v="176.6"/>
    <n v="88"/>
    <n v="30.02"/>
    <n v="162.69999999999999"/>
    <n v="66"/>
    <n v="13.83"/>
    <n v="215.5"/>
    <n v="98"/>
    <n v="9.6999999999999993"/>
    <x v="28"/>
    <x v="3"/>
    <x v="28"/>
    <x v="0"/>
    <x v="0"/>
  </r>
  <r>
    <s v="NE"/>
    <x v="39"/>
    <s v="area_code_415"/>
    <x v="0"/>
    <x v="1"/>
    <n v="0"/>
    <n v="180.6"/>
    <n v="92"/>
    <n v="30.7"/>
    <n v="190.9"/>
    <n v="114"/>
    <n v="16.23"/>
    <n v="295.60000000000002"/>
    <n v="125"/>
    <n v="13.3"/>
    <x v="19"/>
    <x v="4"/>
    <x v="19"/>
    <x v="0"/>
    <x v="1"/>
  </r>
  <r>
    <s v="ND"/>
    <x v="58"/>
    <s v="area_code_415"/>
    <x v="0"/>
    <x v="0"/>
    <n v="31"/>
    <n v="125.9"/>
    <n v="101"/>
    <n v="21.4"/>
    <n v="196.4"/>
    <n v="102"/>
    <n v="16.690000000000001"/>
    <n v="252.7"/>
    <n v="75"/>
    <n v="11.37"/>
    <x v="19"/>
    <x v="4"/>
    <x v="19"/>
    <x v="0"/>
    <x v="0"/>
  </r>
  <r>
    <s v="ME"/>
    <x v="44"/>
    <s v="area_code_408"/>
    <x v="0"/>
    <x v="1"/>
    <n v="0"/>
    <n v="237.6"/>
    <n v="79"/>
    <n v="40.39"/>
    <n v="192.4"/>
    <n v="107"/>
    <n v="16.350000000000001"/>
    <n v="207.4"/>
    <n v="111"/>
    <n v="9.33"/>
    <x v="9"/>
    <x v="6"/>
    <x v="9"/>
    <x v="1"/>
    <x v="0"/>
  </r>
  <r>
    <s v="IL"/>
    <x v="131"/>
    <s v="area_code_415"/>
    <x v="0"/>
    <x v="1"/>
    <n v="0"/>
    <n v="198.4"/>
    <n v="91"/>
    <n v="33.729999999999997"/>
    <n v="264.7"/>
    <n v="106"/>
    <n v="22.5"/>
    <n v="111.4"/>
    <n v="101"/>
    <n v="5.01"/>
    <x v="29"/>
    <x v="5"/>
    <x v="29"/>
    <x v="2"/>
    <x v="0"/>
  </r>
  <r>
    <s v="WA"/>
    <x v="123"/>
    <s v="area_code_408"/>
    <x v="0"/>
    <x v="1"/>
    <n v="0"/>
    <n v="274.3"/>
    <n v="110"/>
    <n v="46.63"/>
    <n v="52.9"/>
    <n v="109"/>
    <n v="4.5"/>
    <n v="246.1"/>
    <n v="119"/>
    <n v="11.07"/>
    <x v="54"/>
    <x v="1"/>
    <x v="54"/>
    <x v="1"/>
    <x v="0"/>
  </r>
  <r>
    <s v="MA"/>
    <x v="27"/>
    <s v="area_code_408"/>
    <x v="1"/>
    <x v="1"/>
    <n v="0"/>
    <n v="199.6"/>
    <n v="89"/>
    <n v="33.93"/>
    <n v="211.4"/>
    <n v="96"/>
    <n v="17.97"/>
    <n v="72.400000000000006"/>
    <n v="84"/>
    <n v="3.26"/>
    <x v="34"/>
    <x v="4"/>
    <x v="34"/>
    <x v="3"/>
    <x v="1"/>
  </r>
  <r>
    <s v="KS"/>
    <x v="44"/>
    <s v="area_code_510"/>
    <x v="0"/>
    <x v="1"/>
    <n v="0"/>
    <n v="217.7"/>
    <n v="91"/>
    <n v="37.01"/>
    <n v="273.5"/>
    <n v="74"/>
    <n v="23.25"/>
    <n v="226.9"/>
    <n v="99"/>
    <n v="10.210000000000001"/>
    <x v="63"/>
    <x v="0"/>
    <x v="63"/>
    <x v="3"/>
    <x v="0"/>
  </r>
  <r>
    <s v="RI"/>
    <x v="58"/>
    <s v="area_code_415"/>
    <x v="0"/>
    <x v="1"/>
    <n v="0"/>
    <n v="134.69999999999999"/>
    <n v="96"/>
    <n v="22.9"/>
    <n v="235.9"/>
    <n v="90"/>
    <n v="20.05"/>
    <n v="260.2"/>
    <n v="113"/>
    <n v="11.71"/>
    <x v="98"/>
    <x v="3"/>
    <x v="98"/>
    <x v="3"/>
    <x v="0"/>
  </r>
  <r>
    <s v="IA"/>
    <x v="103"/>
    <s v="area_code_510"/>
    <x v="0"/>
    <x v="1"/>
    <n v="0"/>
    <n v="256.3"/>
    <n v="135"/>
    <n v="43.57"/>
    <n v="180.2"/>
    <n v="106"/>
    <n v="15.32"/>
    <n v="187.3"/>
    <n v="135"/>
    <n v="8.43"/>
    <x v="46"/>
    <x v="2"/>
    <x v="46"/>
    <x v="2"/>
    <x v="0"/>
  </r>
  <r>
    <s v="WY"/>
    <x v="130"/>
    <s v="area_code_408"/>
    <x v="0"/>
    <x v="1"/>
    <n v="0"/>
    <n v="183.6"/>
    <n v="133"/>
    <n v="31.21"/>
    <n v="120.7"/>
    <n v="98"/>
    <n v="10.26"/>
    <n v="215.1"/>
    <n v="112"/>
    <n v="9.68"/>
    <x v="8"/>
    <x v="5"/>
    <x v="8"/>
    <x v="0"/>
    <x v="0"/>
  </r>
  <r>
    <s v="NV"/>
    <x v="31"/>
    <s v="area_code_415"/>
    <x v="0"/>
    <x v="1"/>
    <n v="0"/>
    <n v="176.2"/>
    <n v="90"/>
    <n v="29.95"/>
    <n v="196"/>
    <n v="115"/>
    <n v="16.66"/>
    <n v="263.89999999999998"/>
    <n v="95"/>
    <n v="11.88"/>
    <x v="29"/>
    <x v="4"/>
    <x v="29"/>
    <x v="0"/>
    <x v="0"/>
  </r>
  <r>
    <s v="WI"/>
    <x v="131"/>
    <s v="area_code_415"/>
    <x v="0"/>
    <x v="0"/>
    <n v="37"/>
    <n v="205"/>
    <n v="94"/>
    <n v="34.85"/>
    <n v="165.4"/>
    <n v="103"/>
    <n v="14.06"/>
    <n v="185"/>
    <n v="81"/>
    <n v="8.32"/>
    <x v="50"/>
    <x v="10"/>
    <x v="50"/>
    <x v="0"/>
    <x v="0"/>
  </r>
  <r>
    <s v="AL"/>
    <x v="67"/>
    <s v="area_code_408"/>
    <x v="0"/>
    <x v="1"/>
    <n v="0"/>
    <n v="267.89999999999998"/>
    <n v="114"/>
    <n v="45.54"/>
    <n v="223"/>
    <n v="74"/>
    <n v="18.96"/>
    <n v="262.7"/>
    <n v="90"/>
    <n v="11.82"/>
    <x v="61"/>
    <x v="0"/>
    <x v="61"/>
    <x v="3"/>
    <x v="1"/>
  </r>
  <r>
    <s v="HI"/>
    <x v="162"/>
    <s v="area_code_415"/>
    <x v="0"/>
    <x v="1"/>
    <n v="0"/>
    <n v="179.2"/>
    <n v="111"/>
    <n v="30.46"/>
    <n v="175.2"/>
    <n v="130"/>
    <n v="14.89"/>
    <n v="228.6"/>
    <n v="92"/>
    <n v="10.29"/>
    <x v="79"/>
    <x v="3"/>
    <x v="79"/>
    <x v="2"/>
    <x v="0"/>
  </r>
  <r>
    <s v="MO"/>
    <x v="142"/>
    <s v="area_code_415"/>
    <x v="0"/>
    <x v="1"/>
    <n v="0"/>
    <n v="149.4"/>
    <n v="145"/>
    <n v="25.4"/>
    <n v="196.5"/>
    <n v="105"/>
    <n v="16.7"/>
    <n v="209.5"/>
    <n v="108"/>
    <n v="9.43"/>
    <x v="130"/>
    <x v="0"/>
    <x v="130"/>
    <x v="0"/>
    <x v="0"/>
  </r>
  <r>
    <s v="CA"/>
    <x v="3"/>
    <s v="area_code_510"/>
    <x v="0"/>
    <x v="0"/>
    <n v="38"/>
    <n v="163.6"/>
    <n v="132"/>
    <n v="27.81"/>
    <n v="146.69999999999999"/>
    <n v="113"/>
    <n v="12.47"/>
    <n v="345.8"/>
    <n v="115"/>
    <n v="15.56"/>
    <x v="67"/>
    <x v="0"/>
    <x v="67"/>
    <x v="3"/>
    <x v="0"/>
  </r>
  <r>
    <s v="MO"/>
    <x v="107"/>
    <s v="area_code_408"/>
    <x v="0"/>
    <x v="1"/>
    <n v="0"/>
    <n v="207.6"/>
    <n v="71"/>
    <n v="35.29"/>
    <n v="152.69999999999999"/>
    <n v="94"/>
    <n v="12.98"/>
    <n v="217.8"/>
    <n v="125"/>
    <n v="9.8000000000000007"/>
    <x v="70"/>
    <x v="15"/>
    <x v="70"/>
    <x v="0"/>
    <x v="0"/>
  </r>
  <r>
    <s v="CT"/>
    <x v="61"/>
    <s v="area_code_510"/>
    <x v="0"/>
    <x v="1"/>
    <n v="0"/>
    <n v="165.4"/>
    <n v="108"/>
    <n v="28.12"/>
    <n v="183.7"/>
    <n v="103"/>
    <n v="15.61"/>
    <n v="80.2"/>
    <n v="108"/>
    <n v="3.61"/>
    <x v="56"/>
    <x v="4"/>
    <x v="56"/>
    <x v="3"/>
    <x v="0"/>
  </r>
  <r>
    <s v="MD"/>
    <x v="36"/>
    <s v="area_code_415"/>
    <x v="0"/>
    <x v="1"/>
    <n v="0"/>
    <n v="209.8"/>
    <n v="114"/>
    <n v="35.67"/>
    <n v="171.3"/>
    <n v="82"/>
    <n v="14.56"/>
    <n v="154.6"/>
    <n v="119"/>
    <n v="6.96"/>
    <x v="79"/>
    <x v="6"/>
    <x v="79"/>
    <x v="4"/>
    <x v="0"/>
  </r>
  <r>
    <s v="OH"/>
    <x v="115"/>
    <s v="area_code_415"/>
    <x v="0"/>
    <x v="0"/>
    <n v="27"/>
    <n v="220.1"/>
    <n v="128"/>
    <n v="37.42"/>
    <n v="268.2"/>
    <n v="133"/>
    <n v="22.8"/>
    <n v="146.5"/>
    <n v="80"/>
    <n v="6.59"/>
    <x v="22"/>
    <x v="0"/>
    <x v="22"/>
    <x v="1"/>
    <x v="0"/>
  </r>
  <r>
    <s v="NV"/>
    <x v="112"/>
    <s v="area_code_510"/>
    <x v="0"/>
    <x v="1"/>
    <n v="0"/>
    <n v="141.30000000000001"/>
    <n v="72"/>
    <n v="24.02"/>
    <n v="154.30000000000001"/>
    <n v="95"/>
    <n v="13.12"/>
    <n v="210.6"/>
    <n v="91"/>
    <n v="9.48"/>
    <x v="45"/>
    <x v="1"/>
    <x v="45"/>
    <x v="0"/>
    <x v="0"/>
  </r>
  <r>
    <s v="MD"/>
    <x v="171"/>
    <s v="area_code_408"/>
    <x v="0"/>
    <x v="1"/>
    <n v="0"/>
    <n v="196.5"/>
    <n v="89"/>
    <n v="33.409999999999997"/>
    <n v="241.3"/>
    <n v="123"/>
    <n v="20.51"/>
    <n v="143.19999999999999"/>
    <n v="105"/>
    <n v="6.44"/>
    <x v="131"/>
    <x v="2"/>
    <x v="131"/>
    <x v="1"/>
    <x v="0"/>
  </r>
  <r>
    <s v="NE"/>
    <x v="76"/>
    <s v="area_code_510"/>
    <x v="1"/>
    <x v="1"/>
    <n v="0"/>
    <n v="180.9"/>
    <n v="114"/>
    <n v="30.75"/>
    <n v="209.5"/>
    <n v="118"/>
    <n v="17.809999999999999"/>
    <n v="249.9"/>
    <n v="105"/>
    <n v="11.25"/>
    <x v="33"/>
    <x v="4"/>
    <x v="33"/>
    <x v="2"/>
    <x v="0"/>
  </r>
  <r>
    <s v="OK"/>
    <x v="44"/>
    <s v="area_code_510"/>
    <x v="0"/>
    <x v="0"/>
    <n v="43"/>
    <n v="206.7"/>
    <n v="79"/>
    <n v="35.14"/>
    <n v="174.6"/>
    <n v="122"/>
    <n v="14.84"/>
    <n v="241.5"/>
    <n v="80"/>
    <n v="10.87"/>
    <x v="54"/>
    <x v="0"/>
    <x v="54"/>
    <x v="0"/>
    <x v="0"/>
  </r>
  <r>
    <s v="MA"/>
    <x v="31"/>
    <s v="area_code_408"/>
    <x v="0"/>
    <x v="1"/>
    <n v="0"/>
    <n v="166.8"/>
    <n v="109"/>
    <n v="28.36"/>
    <n v="236"/>
    <n v="117"/>
    <n v="20.059999999999999"/>
    <n v="307.60000000000002"/>
    <n v="77"/>
    <n v="13.84"/>
    <x v="38"/>
    <x v="8"/>
    <x v="38"/>
    <x v="0"/>
    <x v="0"/>
  </r>
  <r>
    <s v="CO"/>
    <x v="1"/>
    <s v="area_code_415"/>
    <x v="0"/>
    <x v="1"/>
    <n v="0"/>
    <n v="127"/>
    <n v="107"/>
    <n v="21.59"/>
    <n v="323.2"/>
    <n v="75"/>
    <n v="27.47"/>
    <n v="143.9"/>
    <n v="127"/>
    <n v="6.48"/>
    <x v="4"/>
    <x v="5"/>
    <x v="4"/>
    <x v="0"/>
    <x v="0"/>
  </r>
  <r>
    <s v="FL"/>
    <x v="131"/>
    <s v="area_code_415"/>
    <x v="1"/>
    <x v="1"/>
    <n v="0"/>
    <n v="267.39999999999998"/>
    <n v="78"/>
    <n v="45.46"/>
    <n v="204.2"/>
    <n v="85"/>
    <n v="17.36"/>
    <n v="111.7"/>
    <n v="146"/>
    <n v="5.03"/>
    <x v="96"/>
    <x v="4"/>
    <x v="96"/>
    <x v="0"/>
    <x v="0"/>
  </r>
  <r>
    <s v="WI"/>
    <x v="86"/>
    <s v="area_code_415"/>
    <x v="0"/>
    <x v="1"/>
    <n v="0"/>
    <n v="281"/>
    <n v="66"/>
    <n v="47.77"/>
    <n v="160.6"/>
    <n v="108"/>
    <n v="13.65"/>
    <n v="77.900000000000006"/>
    <n v="74"/>
    <n v="3.51"/>
    <x v="77"/>
    <x v="13"/>
    <x v="77"/>
    <x v="0"/>
    <x v="0"/>
  </r>
  <r>
    <s v="ID"/>
    <x v="66"/>
    <s v="area_code_510"/>
    <x v="0"/>
    <x v="0"/>
    <n v="33"/>
    <n v="270.8"/>
    <n v="96"/>
    <n v="46.04"/>
    <n v="220.4"/>
    <n v="110"/>
    <n v="18.73"/>
    <n v="169.9"/>
    <n v="104"/>
    <n v="7.65"/>
    <x v="23"/>
    <x v="10"/>
    <x v="23"/>
    <x v="4"/>
    <x v="0"/>
  </r>
  <r>
    <s v="WY"/>
    <x v="89"/>
    <s v="area_code_408"/>
    <x v="0"/>
    <x v="1"/>
    <n v="0"/>
    <n v="171.2"/>
    <n v="82"/>
    <n v="29.1"/>
    <n v="185.6"/>
    <n v="102"/>
    <n v="15.78"/>
    <n v="203.3"/>
    <n v="64"/>
    <n v="9.15"/>
    <x v="39"/>
    <x v="2"/>
    <x v="39"/>
    <x v="0"/>
    <x v="0"/>
  </r>
  <r>
    <s v="FL"/>
    <x v="17"/>
    <s v="area_code_415"/>
    <x v="0"/>
    <x v="1"/>
    <n v="0"/>
    <n v="162.80000000000001"/>
    <n v="113"/>
    <n v="27.68"/>
    <n v="290.3"/>
    <n v="111"/>
    <n v="24.68"/>
    <n v="114.9"/>
    <n v="140"/>
    <n v="5.17"/>
    <x v="68"/>
    <x v="0"/>
    <x v="68"/>
    <x v="0"/>
    <x v="0"/>
  </r>
  <r>
    <s v="WY"/>
    <x v="171"/>
    <s v="area_code_408"/>
    <x v="0"/>
    <x v="1"/>
    <n v="0"/>
    <n v="146.30000000000001"/>
    <n v="84"/>
    <n v="24.87"/>
    <n v="255.9"/>
    <n v="113"/>
    <n v="21.75"/>
    <n v="45"/>
    <n v="117"/>
    <n v="2.0299999999999998"/>
    <x v="40"/>
    <x v="14"/>
    <x v="40"/>
    <x v="0"/>
    <x v="0"/>
  </r>
  <r>
    <s v="DE"/>
    <x v="15"/>
    <s v="area_code_415"/>
    <x v="0"/>
    <x v="1"/>
    <n v="0"/>
    <n v="254.8"/>
    <n v="85"/>
    <n v="43.32"/>
    <n v="143.4"/>
    <n v="80"/>
    <n v="12.19"/>
    <n v="153.9"/>
    <n v="102"/>
    <n v="6.93"/>
    <x v="51"/>
    <x v="2"/>
    <x v="51"/>
    <x v="2"/>
    <x v="0"/>
  </r>
  <r>
    <s v="ME"/>
    <x v="103"/>
    <s v="area_code_408"/>
    <x v="0"/>
    <x v="0"/>
    <n v="26"/>
    <n v="254.9"/>
    <n v="108"/>
    <n v="43.33"/>
    <n v="243.2"/>
    <n v="135"/>
    <n v="20.67"/>
    <n v="190.8"/>
    <n v="95"/>
    <n v="8.59"/>
    <x v="11"/>
    <x v="0"/>
    <x v="11"/>
    <x v="2"/>
    <x v="0"/>
  </r>
  <r>
    <s v="DC"/>
    <x v="78"/>
    <s v="area_code_510"/>
    <x v="0"/>
    <x v="0"/>
    <n v="31"/>
    <n v="107.7"/>
    <n v="124"/>
    <n v="18.309999999999999"/>
    <n v="188.9"/>
    <n v="104"/>
    <n v="16.059999999999999"/>
    <n v="196.2"/>
    <n v="98"/>
    <n v="8.83"/>
    <x v="56"/>
    <x v="0"/>
    <x v="56"/>
    <x v="1"/>
    <x v="0"/>
  </r>
  <r>
    <s v="IA"/>
    <x v="59"/>
    <s v="area_code_408"/>
    <x v="0"/>
    <x v="1"/>
    <n v="0"/>
    <n v="158.80000000000001"/>
    <n v="75"/>
    <n v="27"/>
    <n v="264.8"/>
    <n v="91"/>
    <n v="22.51"/>
    <n v="270"/>
    <n v="77"/>
    <n v="12.15"/>
    <x v="98"/>
    <x v="2"/>
    <x v="98"/>
    <x v="0"/>
    <x v="0"/>
  </r>
  <r>
    <s v="MN"/>
    <x v="78"/>
    <s v="area_code_415"/>
    <x v="0"/>
    <x v="1"/>
    <n v="0"/>
    <n v="198.5"/>
    <n v="112"/>
    <n v="33.75"/>
    <n v="42.5"/>
    <n v="90"/>
    <n v="3.61"/>
    <n v="179.2"/>
    <n v="124"/>
    <n v="8.06"/>
    <x v="70"/>
    <x v="1"/>
    <x v="70"/>
    <x v="1"/>
    <x v="0"/>
  </r>
  <r>
    <s v="VT"/>
    <x v="146"/>
    <s v="area_code_415"/>
    <x v="0"/>
    <x v="1"/>
    <n v="0"/>
    <n v="178.4"/>
    <n v="72"/>
    <n v="30.33"/>
    <n v="233.6"/>
    <n v="134"/>
    <n v="19.86"/>
    <n v="179.4"/>
    <n v="91"/>
    <n v="8.07"/>
    <x v="42"/>
    <x v="5"/>
    <x v="42"/>
    <x v="1"/>
    <x v="0"/>
  </r>
  <r>
    <s v="AZ"/>
    <x v="137"/>
    <s v="area_code_510"/>
    <x v="0"/>
    <x v="1"/>
    <n v="0"/>
    <n v="110.9"/>
    <n v="91"/>
    <n v="18.850000000000001"/>
    <n v="158.5"/>
    <n v="115"/>
    <n v="13.47"/>
    <n v="207.5"/>
    <n v="131"/>
    <n v="9.34"/>
    <x v="46"/>
    <x v="1"/>
    <x v="46"/>
    <x v="0"/>
    <x v="0"/>
  </r>
  <r>
    <s v="LA"/>
    <x v="143"/>
    <s v="area_code_415"/>
    <x v="0"/>
    <x v="0"/>
    <n v="27"/>
    <n v="166.9"/>
    <n v="85"/>
    <n v="28.37"/>
    <n v="221.2"/>
    <n v="92"/>
    <n v="18.8"/>
    <n v="197.3"/>
    <n v="97"/>
    <n v="8.8800000000000008"/>
    <x v="10"/>
    <x v="4"/>
    <x v="10"/>
    <x v="0"/>
    <x v="1"/>
  </r>
  <r>
    <s v="MO"/>
    <x v="120"/>
    <s v="area_code_415"/>
    <x v="1"/>
    <x v="1"/>
    <n v="0"/>
    <n v="244.8"/>
    <n v="91"/>
    <n v="41.62"/>
    <n v="60.8"/>
    <n v="105"/>
    <n v="5.17"/>
    <n v="176.7"/>
    <n v="110"/>
    <n v="7.95"/>
    <x v="85"/>
    <x v="0"/>
    <x v="85"/>
    <x v="2"/>
    <x v="0"/>
  </r>
  <r>
    <s v="ME"/>
    <x v="35"/>
    <s v="area_code_510"/>
    <x v="0"/>
    <x v="1"/>
    <n v="0"/>
    <n v="120.8"/>
    <n v="96"/>
    <n v="20.54"/>
    <n v="169.8"/>
    <n v="101"/>
    <n v="14.43"/>
    <n v="194.1"/>
    <n v="63"/>
    <n v="8.73"/>
    <x v="78"/>
    <x v="0"/>
    <x v="78"/>
    <x v="4"/>
    <x v="1"/>
  </r>
  <r>
    <s v="VT"/>
    <x v="41"/>
    <s v="area_code_415"/>
    <x v="0"/>
    <x v="1"/>
    <n v="0"/>
    <n v="126.7"/>
    <n v="113"/>
    <n v="21.54"/>
    <n v="155.5"/>
    <n v="131"/>
    <n v="13.22"/>
    <n v="206.2"/>
    <n v="112"/>
    <n v="9.2799999999999994"/>
    <x v="90"/>
    <x v="2"/>
    <x v="90"/>
    <x v="2"/>
    <x v="0"/>
  </r>
  <r>
    <s v="DC"/>
    <x v="65"/>
    <s v="area_code_408"/>
    <x v="0"/>
    <x v="0"/>
    <n v="35"/>
    <n v="215.9"/>
    <n v="106"/>
    <n v="36.700000000000003"/>
    <n v="200.6"/>
    <n v="107"/>
    <n v="17.05"/>
    <n v="195.4"/>
    <n v="107"/>
    <n v="8.7899999999999991"/>
    <x v="121"/>
    <x v="2"/>
    <x v="121"/>
    <x v="1"/>
    <x v="0"/>
  </r>
  <r>
    <s v="VA"/>
    <x v="121"/>
    <s v="area_code_415"/>
    <x v="0"/>
    <x v="0"/>
    <n v="32"/>
    <n v="209.9"/>
    <n v="113"/>
    <n v="35.68"/>
    <n v="249.8"/>
    <n v="104"/>
    <n v="21.23"/>
    <n v="224.2"/>
    <n v="92"/>
    <n v="10.09"/>
    <x v="6"/>
    <x v="2"/>
    <x v="6"/>
    <x v="0"/>
    <x v="0"/>
  </r>
  <r>
    <s v="CT"/>
    <x v="172"/>
    <s v="area_code_510"/>
    <x v="0"/>
    <x v="1"/>
    <n v="0"/>
    <n v="321.60000000000002"/>
    <n v="107"/>
    <n v="54.67"/>
    <n v="251.6"/>
    <n v="115"/>
    <n v="21.39"/>
    <n v="141.1"/>
    <n v="158"/>
    <n v="6.35"/>
    <x v="61"/>
    <x v="0"/>
    <x v="61"/>
    <x v="2"/>
    <x v="1"/>
  </r>
  <r>
    <s v="HI"/>
    <x v="44"/>
    <s v="area_code_510"/>
    <x v="0"/>
    <x v="1"/>
    <n v="0"/>
    <n v="166.6"/>
    <n v="61"/>
    <n v="28.32"/>
    <n v="218.8"/>
    <n v="107"/>
    <n v="18.600000000000001"/>
    <n v="208.3"/>
    <n v="131"/>
    <n v="9.3699999999999992"/>
    <x v="45"/>
    <x v="3"/>
    <x v="45"/>
    <x v="6"/>
    <x v="0"/>
  </r>
  <r>
    <s v="WI"/>
    <x v="15"/>
    <s v="area_code_415"/>
    <x v="0"/>
    <x v="1"/>
    <n v="0"/>
    <n v="214.2"/>
    <n v="90"/>
    <n v="36.409999999999997"/>
    <n v="196.8"/>
    <n v="78"/>
    <n v="16.73"/>
    <n v="157.9"/>
    <n v="112"/>
    <n v="7.11"/>
    <x v="96"/>
    <x v="10"/>
    <x v="96"/>
    <x v="1"/>
    <x v="0"/>
  </r>
  <r>
    <s v="MD"/>
    <x v="72"/>
    <s v="area_code_415"/>
    <x v="0"/>
    <x v="1"/>
    <n v="0"/>
    <n v="260"/>
    <n v="123"/>
    <n v="44.2"/>
    <n v="210.5"/>
    <n v="127"/>
    <n v="17.89"/>
    <n v="234.7"/>
    <n v="70"/>
    <n v="10.56"/>
    <x v="62"/>
    <x v="0"/>
    <x v="62"/>
    <x v="0"/>
    <x v="1"/>
  </r>
  <r>
    <s v="WV"/>
    <x v="12"/>
    <s v="area_code_415"/>
    <x v="0"/>
    <x v="1"/>
    <n v="0"/>
    <n v="191.9"/>
    <n v="113"/>
    <n v="32.619999999999997"/>
    <n v="70.900000000000006"/>
    <n v="87"/>
    <n v="6.03"/>
    <n v="204.8"/>
    <n v="107"/>
    <n v="9.2200000000000006"/>
    <x v="83"/>
    <x v="4"/>
    <x v="83"/>
    <x v="4"/>
    <x v="1"/>
  </r>
  <r>
    <s v="UT"/>
    <x v="98"/>
    <s v="area_code_415"/>
    <x v="0"/>
    <x v="0"/>
    <n v="24"/>
    <n v="118.1"/>
    <n v="83"/>
    <n v="20.079999999999998"/>
    <n v="109.6"/>
    <n v="72"/>
    <n v="9.32"/>
    <n v="245.5"/>
    <n v="73"/>
    <n v="11.05"/>
    <x v="132"/>
    <x v="5"/>
    <x v="132"/>
    <x v="0"/>
    <x v="0"/>
  </r>
  <r>
    <s v="CO"/>
    <x v="172"/>
    <s v="area_code_408"/>
    <x v="0"/>
    <x v="1"/>
    <n v="0"/>
    <n v="190.2"/>
    <n v="89"/>
    <n v="32.33"/>
    <n v="166.4"/>
    <n v="108"/>
    <n v="14.14"/>
    <n v="219.8"/>
    <n v="73"/>
    <n v="9.89"/>
    <x v="51"/>
    <x v="4"/>
    <x v="51"/>
    <x v="8"/>
    <x v="0"/>
  </r>
  <r>
    <s v="NC"/>
    <x v="76"/>
    <s v="area_code_415"/>
    <x v="0"/>
    <x v="0"/>
    <n v="25"/>
    <n v="82.2"/>
    <n v="95"/>
    <n v="13.97"/>
    <n v="163.30000000000001"/>
    <n v="109"/>
    <n v="13.88"/>
    <n v="264.89999999999998"/>
    <n v="104"/>
    <n v="11.92"/>
    <x v="118"/>
    <x v="3"/>
    <x v="118"/>
    <x v="1"/>
    <x v="0"/>
  </r>
  <r>
    <s v="NJ"/>
    <x v="171"/>
    <s v="area_code_415"/>
    <x v="0"/>
    <x v="0"/>
    <n v="32"/>
    <n v="163.80000000000001"/>
    <n v="80"/>
    <n v="27.85"/>
    <n v="177.8"/>
    <n v="123"/>
    <n v="15.11"/>
    <n v="190.4"/>
    <n v="106"/>
    <n v="8.57"/>
    <x v="111"/>
    <x v="1"/>
    <x v="111"/>
    <x v="1"/>
    <x v="0"/>
  </r>
  <r>
    <s v="IA"/>
    <x v="107"/>
    <s v="area_code_510"/>
    <x v="0"/>
    <x v="1"/>
    <n v="0"/>
    <n v="159.80000000000001"/>
    <n v="91"/>
    <n v="27.17"/>
    <n v="120.4"/>
    <n v="86"/>
    <n v="10.23"/>
    <n v="163"/>
    <n v="93"/>
    <n v="7.34"/>
    <x v="15"/>
    <x v="0"/>
    <x v="15"/>
    <x v="2"/>
    <x v="0"/>
  </r>
  <r>
    <s v="GA"/>
    <x v="54"/>
    <s v="area_code_408"/>
    <x v="0"/>
    <x v="0"/>
    <n v="24"/>
    <n v="214.3"/>
    <n v="129"/>
    <n v="36.43"/>
    <n v="289.8"/>
    <n v="55"/>
    <n v="24.63"/>
    <n v="312.5"/>
    <n v="130"/>
    <n v="14.06"/>
    <x v="15"/>
    <x v="4"/>
    <x v="15"/>
    <x v="0"/>
    <x v="0"/>
  </r>
  <r>
    <s v="MO"/>
    <x v="92"/>
    <s v="area_code_510"/>
    <x v="0"/>
    <x v="1"/>
    <n v="0"/>
    <n v="287.3"/>
    <n v="123"/>
    <n v="48.84"/>
    <n v="288"/>
    <n v="114"/>
    <n v="24.48"/>
    <n v="266"/>
    <n v="112"/>
    <n v="11.97"/>
    <x v="26"/>
    <x v="4"/>
    <x v="26"/>
    <x v="1"/>
    <x v="1"/>
  </r>
  <r>
    <s v="MO"/>
    <x v="153"/>
    <s v="area_code_408"/>
    <x v="0"/>
    <x v="1"/>
    <n v="0"/>
    <n v="101.2"/>
    <n v="122"/>
    <n v="17.2"/>
    <n v="141.6"/>
    <n v="87"/>
    <n v="12.04"/>
    <n v="198.5"/>
    <n v="124"/>
    <n v="8.93"/>
    <x v="4"/>
    <x v="0"/>
    <x v="4"/>
    <x v="2"/>
    <x v="0"/>
  </r>
  <r>
    <s v="HI"/>
    <x v="145"/>
    <s v="area_code_415"/>
    <x v="0"/>
    <x v="1"/>
    <n v="0"/>
    <n v="109.1"/>
    <n v="97"/>
    <n v="18.55"/>
    <n v="115.7"/>
    <n v="96"/>
    <n v="9.83"/>
    <n v="295.8"/>
    <n v="84"/>
    <n v="13.31"/>
    <x v="24"/>
    <x v="3"/>
    <x v="24"/>
    <x v="1"/>
    <x v="0"/>
  </r>
  <r>
    <s v="PA"/>
    <x v="36"/>
    <s v="area_code_408"/>
    <x v="0"/>
    <x v="1"/>
    <n v="0"/>
    <n v="215.9"/>
    <n v="67"/>
    <n v="36.700000000000003"/>
    <n v="217"/>
    <n v="108"/>
    <n v="18.45"/>
    <n v="342.8"/>
    <n v="130"/>
    <n v="15.43"/>
    <x v="133"/>
    <x v="5"/>
    <x v="133"/>
    <x v="0"/>
    <x v="0"/>
  </r>
  <r>
    <s v="TX"/>
    <x v="41"/>
    <s v="area_code_415"/>
    <x v="0"/>
    <x v="1"/>
    <n v="0"/>
    <n v="203.4"/>
    <n v="110"/>
    <n v="34.58"/>
    <n v="128.69999999999999"/>
    <n v="97"/>
    <n v="10.94"/>
    <n v="190.5"/>
    <n v="113"/>
    <n v="8.57"/>
    <x v="34"/>
    <x v="4"/>
    <x v="34"/>
    <x v="0"/>
    <x v="0"/>
  </r>
  <r>
    <s v="VA"/>
    <x v="118"/>
    <s v="area_code_510"/>
    <x v="0"/>
    <x v="1"/>
    <n v="0"/>
    <n v="110.1"/>
    <n v="113"/>
    <n v="18.72"/>
    <n v="169"/>
    <n v="59"/>
    <n v="14.37"/>
    <n v="166.7"/>
    <n v="94"/>
    <n v="7.5"/>
    <x v="29"/>
    <x v="5"/>
    <x v="29"/>
    <x v="0"/>
    <x v="0"/>
  </r>
  <r>
    <s v="RI"/>
    <x v="8"/>
    <s v="area_code_415"/>
    <x v="0"/>
    <x v="1"/>
    <n v="0"/>
    <n v="111"/>
    <n v="51"/>
    <n v="18.87"/>
    <n v="219.8"/>
    <n v="84"/>
    <n v="18.68"/>
    <n v="202"/>
    <n v="89"/>
    <n v="9.09"/>
    <x v="59"/>
    <x v="17"/>
    <x v="59"/>
    <x v="0"/>
    <x v="0"/>
  </r>
  <r>
    <s v="MS"/>
    <x v="173"/>
    <s v="area_code_415"/>
    <x v="0"/>
    <x v="1"/>
    <n v="0"/>
    <n v="144.80000000000001"/>
    <n v="107"/>
    <n v="24.62"/>
    <n v="112.5"/>
    <n v="66"/>
    <n v="9.56"/>
    <n v="218.7"/>
    <n v="79"/>
    <n v="9.84"/>
    <x v="12"/>
    <x v="0"/>
    <x v="12"/>
    <x v="0"/>
    <x v="0"/>
  </r>
  <r>
    <s v="KY"/>
    <x v="37"/>
    <s v="area_code_408"/>
    <x v="0"/>
    <x v="1"/>
    <n v="0"/>
    <n v="135.4"/>
    <n v="134"/>
    <n v="23.02"/>
    <n v="205.9"/>
    <n v="85"/>
    <n v="17.5"/>
    <n v="204"/>
    <n v="103"/>
    <n v="9.18"/>
    <x v="57"/>
    <x v="4"/>
    <x v="57"/>
    <x v="0"/>
    <x v="0"/>
  </r>
  <r>
    <s v="NC"/>
    <x v="47"/>
    <s v="area_code_415"/>
    <x v="0"/>
    <x v="1"/>
    <n v="0"/>
    <n v="84.2"/>
    <n v="134"/>
    <n v="14.31"/>
    <n v="80.8"/>
    <n v="103"/>
    <n v="6.87"/>
    <n v="196.1"/>
    <n v="79"/>
    <n v="8.82"/>
    <x v="81"/>
    <x v="5"/>
    <x v="81"/>
    <x v="0"/>
    <x v="0"/>
  </r>
  <r>
    <s v="NV"/>
    <x v="118"/>
    <s v="area_code_415"/>
    <x v="0"/>
    <x v="1"/>
    <n v="0"/>
    <n v="209.1"/>
    <n v="127"/>
    <n v="35.549999999999997"/>
    <n v="106.1"/>
    <n v="80"/>
    <n v="9.02"/>
    <n v="179.6"/>
    <n v="90"/>
    <n v="8.08"/>
    <x v="100"/>
    <x v="3"/>
    <x v="100"/>
    <x v="1"/>
    <x v="0"/>
  </r>
  <r>
    <s v="UT"/>
    <x v="40"/>
    <s v="area_code_415"/>
    <x v="0"/>
    <x v="0"/>
    <n v="24"/>
    <n v="130.1"/>
    <n v="117"/>
    <n v="22.12"/>
    <n v="196"/>
    <n v="61"/>
    <n v="16.66"/>
    <n v="139.30000000000001"/>
    <n v="123"/>
    <n v="6.27"/>
    <x v="37"/>
    <x v="1"/>
    <x v="37"/>
    <x v="1"/>
    <x v="0"/>
  </r>
  <r>
    <s v="HI"/>
    <x v="114"/>
    <s v="area_code_415"/>
    <x v="0"/>
    <x v="1"/>
    <n v="0"/>
    <n v="241.9"/>
    <n v="104"/>
    <n v="41.12"/>
    <n v="145.19999999999999"/>
    <n v="112"/>
    <n v="12.34"/>
    <n v="214.5"/>
    <n v="105"/>
    <n v="9.65"/>
    <x v="2"/>
    <x v="1"/>
    <x v="2"/>
    <x v="0"/>
    <x v="0"/>
  </r>
  <r>
    <s v="WV"/>
    <x v="16"/>
    <s v="area_code_510"/>
    <x v="0"/>
    <x v="1"/>
    <n v="0"/>
    <n v="67.7"/>
    <n v="68"/>
    <n v="11.51"/>
    <n v="195.7"/>
    <n v="86"/>
    <n v="16.63"/>
    <n v="236.5"/>
    <n v="137"/>
    <n v="10.64"/>
    <x v="42"/>
    <x v="5"/>
    <x v="42"/>
    <x v="0"/>
    <x v="0"/>
  </r>
  <r>
    <s v="OK"/>
    <x v="9"/>
    <s v="area_code_415"/>
    <x v="0"/>
    <x v="1"/>
    <n v="0"/>
    <n v="200.4"/>
    <n v="87"/>
    <n v="34.07"/>
    <n v="309.2"/>
    <n v="105"/>
    <n v="26.28"/>
    <n v="152.1"/>
    <n v="118"/>
    <n v="6.84"/>
    <x v="13"/>
    <x v="5"/>
    <x v="13"/>
    <x v="0"/>
    <x v="0"/>
  </r>
  <r>
    <s v="KY"/>
    <x v="9"/>
    <s v="area_code_510"/>
    <x v="1"/>
    <x v="1"/>
    <n v="0"/>
    <n v="125.8"/>
    <n v="103"/>
    <n v="21.39"/>
    <n v="207.7"/>
    <n v="96"/>
    <n v="17.649999999999999"/>
    <n v="207.4"/>
    <n v="143"/>
    <n v="9.33"/>
    <x v="71"/>
    <x v="4"/>
    <x v="71"/>
    <x v="0"/>
    <x v="1"/>
  </r>
  <r>
    <s v="AL"/>
    <x v="174"/>
    <s v="area_code_408"/>
    <x v="0"/>
    <x v="1"/>
    <n v="0"/>
    <n v="128.19999999999999"/>
    <n v="87"/>
    <n v="21.79"/>
    <n v="133.19999999999999"/>
    <n v="105"/>
    <n v="11.32"/>
    <n v="177.6"/>
    <n v="123"/>
    <n v="7.99"/>
    <x v="7"/>
    <x v="5"/>
    <x v="7"/>
    <x v="0"/>
    <x v="0"/>
  </r>
  <r>
    <s v="MD"/>
    <x v="112"/>
    <s v="area_code_408"/>
    <x v="0"/>
    <x v="1"/>
    <n v="0"/>
    <n v="226.3"/>
    <n v="88"/>
    <n v="38.47"/>
    <n v="223"/>
    <n v="107"/>
    <n v="18.96"/>
    <n v="255.6"/>
    <n v="92"/>
    <n v="11.5"/>
    <x v="14"/>
    <x v="0"/>
    <x v="14"/>
    <x v="4"/>
    <x v="0"/>
  </r>
  <r>
    <s v="NE"/>
    <x v="75"/>
    <s v="area_code_510"/>
    <x v="0"/>
    <x v="0"/>
    <n v="37"/>
    <n v="162.30000000000001"/>
    <n v="107"/>
    <n v="27.59"/>
    <n v="233.9"/>
    <n v="115"/>
    <n v="19.88"/>
    <n v="277.39999999999998"/>
    <n v="94"/>
    <n v="12.48"/>
    <x v="29"/>
    <x v="4"/>
    <x v="29"/>
    <x v="1"/>
    <x v="0"/>
  </r>
  <r>
    <s v="TX"/>
    <x v="17"/>
    <s v="area_code_415"/>
    <x v="0"/>
    <x v="1"/>
    <n v="0"/>
    <n v="120.5"/>
    <n v="127"/>
    <n v="20.49"/>
    <n v="189.7"/>
    <n v="52"/>
    <n v="16.12"/>
    <n v="270.10000000000002"/>
    <n v="107"/>
    <n v="12.15"/>
    <x v="108"/>
    <x v="5"/>
    <x v="108"/>
    <x v="0"/>
    <x v="0"/>
  </r>
  <r>
    <s v="OH"/>
    <x v="80"/>
    <s v="area_code_408"/>
    <x v="0"/>
    <x v="1"/>
    <n v="0"/>
    <n v="91.1"/>
    <n v="90"/>
    <n v="15.49"/>
    <n v="179.3"/>
    <n v="115"/>
    <n v="15.24"/>
    <n v="300.7"/>
    <n v="89"/>
    <n v="13.53"/>
    <x v="78"/>
    <x v="10"/>
    <x v="78"/>
    <x v="2"/>
    <x v="0"/>
  </r>
  <r>
    <s v="DE"/>
    <x v="6"/>
    <s v="area_code_415"/>
    <x v="0"/>
    <x v="1"/>
    <n v="0"/>
    <n v="168.8"/>
    <n v="137"/>
    <n v="28.7"/>
    <n v="241.4"/>
    <n v="107"/>
    <n v="20.52"/>
    <n v="204.8"/>
    <n v="106"/>
    <n v="9.2200000000000006"/>
    <x v="121"/>
    <x v="4"/>
    <x v="121"/>
    <x v="1"/>
    <x v="0"/>
  </r>
  <r>
    <s v="IA"/>
    <x v="69"/>
    <s v="area_code_510"/>
    <x v="0"/>
    <x v="1"/>
    <n v="0"/>
    <n v="153.5"/>
    <n v="81"/>
    <n v="26.1"/>
    <n v="287.3"/>
    <n v="115"/>
    <n v="24.42"/>
    <n v="230.2"/>
    <n v="85"/>
    <n v="10.36"/>
    <x v="94"/>
    <x v="1"/>
    <x v="94"/>
    <x v="2"/>
    <x v="0"/>
  </r>
  <r>
    <s v="VT"/>
    <x v="49"/>
    <s v="area_code_415"/>
    <x v="0"/>
    <x v="1"/>
    <n v="0"/>
    <n v="226.2"/>
    <n v="88"/>
    <n v="38.450000000000003"/>
    <n v="140.30000000000001"/>
    <n v="114"/>
    <n v="11.93"/>
    <n v="208.9"/>
    <n v="110"/>
    <n v="9.4"/>
    <x v="69"/>
    <x v="5"/>
    <x v="69"/>
    <x v="1"/>
    <x v="0"/>
  </r>
  <r>
    <s v="OR"/>
    <x v="19"/>
    <s v="area_code_510"/>
    <x v="0"/>
    <x v="1"/>
    <n v="0"/>
    <n v="191.9"/>
    <n v="107"/>
    <n v="32.619999999999997"/>
    <n v="206.9"/>
    <n v="127"/>
    <n v="17.59"/>
    <n v="272"/>
    <n v="88"/>
    <n v="12.24"/>
    <x v="44"/>
    <x v="5"/>
    <x v="44"/>
    <x v="0"/>
    <x v="0"/>
  </r>
  <r>
    <s v="NV"/>
    <x v="40"/>
    <s v="area_code_415"/>
    <x v="0"/>
    <x v="0"/>
    <n v="28"/>
    <n v="167.9"/>
    <n v="147"/>
    <n v="28.54"/>
    <n v="190.7"/>
    <n v="105"/>
    <n v="16.21"/>
    <n v="193"/>
    <n v="103"/>
    <n v="8.69"/>
    <x v="29"/>
    <x v="3"/>
    <x v="29"/>
    <x v="4"/>
    <x v="1"/>
  </r>
  <r>
    <s v="NC"/>
    <x v="66"/>
    <s v="area_code_415"/>
    <x v="0"/>
    <x v="1"/>
    <n v="0"/>
    <n v="180"/>
    <n v="88"/>
    <n v="30.6"/>
    <n v="145"/>
    <n v="77"/>
    <n v="12.33"/>
    <n v="233.7"/>
    <n v="120"/>
    <n v="10.52"/>
    <x v="73"/>
    <x v="3"/>
    <x v="73"/>
    <x v="2"/>
    <x v="0"/>
  </r>
  <r>
    <s v="NJ"/>
    <x v="57"/>
    <s v="area_code_408"/>
    <x v="0"/>
    <x v="1"/>
    <n v="0"/>
    <n v="257.39999999999998"/>
    <n v="67"/>
    <n v="43.76"/>
    <n v="261.10000000000002"/>
    <n v="91"/>
    <n v="22.19"/>
    <n v="204.4"/>
    <n v="107"/>
    <n v="9.1999999999999993"/>
    <x v="83"/>
    <x v="1"/>
    <x v="83"/>
    <x v="2"/>
    <x v="1"/>
  </r>
  <r>
    <s v="MN"/>
    <x v="50"/>
    <s v="area_code_415"/>
    <x v="0"/>
    <x v="0"/>
    <n v="28"/>
    <n v="174.4"/>
    <n v="75"/>
    <n v="29.65"/>
    <n v="169.9"/>
    <n v="80"/>
    <n v="14.44"/>
    <n v="201.6"/>
    <n v="130"/>
    <n v="9.07"/>
    <x v="34"/>
    <x v="4"/>
    <x v="34"/>
    <x v="0"/>
    <x v="0"/>
  </r>
  <r>
    <s v="ID"/>
    <x v="63"/>
    <s v="area_code_408"/>
    <x v="0"/>
    <x v="1"/>
    <n v="0"/>
    <n v="159.69999999999999"/>
    <n v="83"/>
    <n v="27.15"/>
    <n v="155.4"/>
    <n v="121"/>
    <n v="13.21"/>
    <n v="255.7"/>
    <n v="114"/>
    <n v="11.51"/>
    <x v="80"/>
    <x v="0"/>
    <x v="80"/>
    <x v="0"/>
    <x v="0"/>
  </r>
  <r>
    <s v="AL"/>
    <x v="137"/>
    <s v="area_code_408"/>
    <x v="0"/>
    <x v="1"/>
    <n v="0"/>
    <n v="237.2"/>
    <n v="124"/>
    <n v="40.32"/>
    <n v="222.6"/>
    <n v="87"/>
    <n v="18.920000000000002"/>
    <n v="173.3"/>
    <n v="81"/>
    <n v="7.8"/>
    <x v="34"/>
    <x v="0"/>
    <x v="34"/>
    <x v="0"/>
    <x v="0"/>
  </r>
  <r>
    <s v="VT"/>
    <x v="116"/>
    <s v="area_code_415"/>
    <x v="0"/>
    <x v="1"/>
    <n v="0"/>
    <n v="153.80000000000001"/>
    <n v="89"/>
    <n v="26.15"/>
    <n v="234"/>
    <n v="89"/>
    <n v="19.89"/>
    <n v="196.3"/>
    <n v="77"/>
    <n v="8.83"/>
    <x v="43"/>
    <x v="5"/>
    <x v="43"/>
    <x v="4"/>
    <x v="0"/>
  </r>
  <r>
    <s v="PA"/>
    <x v="101"/>
    <s v="area_code_415"/>
    <x v="0"/>
    <x v="1"/>
    <n v="0"/>
    <n v="205.1"/>
    <n v="86"/>
    <n v="34.869999999999997"/>
    <n v="160.5"/>
    <n v="95"/>
    <n v="13.64"/>
    <n v="149.5"/>
    <n v="142"/>
    <n v="6.73"/>
    <x v="85"/>
    <x v="5"/>
    <x v="85"/>
    <x v="3"/>
    <x v="0"/>
  </r>
  <r>
    <s v="AK"/>
    <x v="19"/>
    <s v="area_code_415"/>
    <x v="0"/>
    <x v="0"/>
    <n v="39"/>
    <n v="175.7"/>
    <n v="93"/>
    <n v="29.87"/>
    <n v="187.2"/>
    <n v="94"/>
    <n v="15.91"/>
    <n v="225.5"/>
    <n v="118"/>
    <n v="10.15"/>
    <x v="53"/>
    <x v="0"/>
    <x v="53"/>
    <x v="2"/>
    <x v="0"/>
  </r>
  <r>
    <s v="CA"/>
    <x v="124"/>
    <s v="area_code_510"/>
    <x v="0"/>
    <x v="1"/>
    <n v="0"/>
    <n v="155.9"/>
    <n v="123"/>
    <n v="26.5"/>
    <n v="224.2"/>
    <n v="112"/>
    <n v="19.059999999999999"/>
    <n v="221"/>
    <n v="116"/>
    <n v="9.9499999999999993"/>
    <x v="53"/>
    <x v="10"/>
    <x v="53"/>
    <x v="2"/>
    <x v="0"/>
  </r>
  <r>
    <s v="MS"/>
    <x v="113"/>
    <s v="area_code_415"/>
    <x v="0"/>
    <x v="0"/>
    <n v="34"/>
    <n v="154.4"/>
    <n v="109"/>
    <n v="26.25"/>
    <n v="221.4"/>
    <n v="142"/>
    <n v="18.82"/>
    <n v="208.5"/>
    <n v="103"/>
    <n v="9.3800000000000008"/>
    <x v="19"/>
    <x v="1"/>
    <x v="19"/>
    <x v="1"/>
    <x v="0"/>
  </r>
  <r>
    <s v="NV"/>
    <x v="56"/>
    <s v="area_code_415"/>
    <x v="1"/>
    <x v="1"/>
    <n v="0"/>
    <n v="150"/>
    <n v="69"/>
    <n v="25.5"/>
    <n v="285.89999999999998"/>
    <n v="73"/>
    <n v="24.3"/>
    <n v="190.6"/>
    <n v="121"/>
    <n v="8.58"/>
    <x v="27"/>
    <x v="9"/>
    <x v="27"/>
    <x v="1"/>
    <x v="0"/>
  </r>
  <r>
    <s v="AL"/>
    <x v="75"/>
    <s v="area_code_510"/>
    <x v="0"/>
    <x v="0"/>
    <n v="23"/>
    <n v="232.4"/>
    <n v="97"/>
    <n v="39.51"/>
    <n v="186"/>
    <n v="88"/>
    <n v="15.81"/>
    <n v="190.5"/>
    <n v="128"/>
    <n v="8.57"/>
    <x v="10"/>
    <x v="0"/>
    <x v="10"/>
    <x v="3"/>
    <x v="0"/>
  </r>
  <r>
    <s v="GA"/>
    <x v="142"/>
    <s v="area_code_408"/>
    <x v="0"/>
    <x v="1"/>
    <n v="0"/>
    <n v="165.4"/>
    <n v="100"/>
    <n v="28.12"/>
    <n v="115.7"/>
    <n v="87"/>
    <n v="9.83"/>
    <n v="193.8"/>
    <n v="118"/>
    <n v="8.7200000000000006"/>
    <x v="75"/>
    <x v="1"/>
    <x v="75"/>
    <x v="2"/>
    <x v="0"/>
  </r>
  <r>
    <s v="AR"/>
    <x v="175"/>
    <s v="area_code_415"/>
    <x v="0"/>
    <x v="1"/>
    <n v="0"/>
    <n v="199.2"/>
    <n v="106"/>
    <n v="33.86"/>
    <n v="187.3"/>
    <n v="12"/>
    <n v="15.92"/>
    <n v="214"/>
    <n v="85"/>
    <n v="9.6300000000000008"/>
    <x v="64"/>
    <x v="0"/>
    <x v="64"/>
    <x v="3"/>
    <x v="0"/>
  </r>
  <r>
    <s v="MA"/>
    <x v="35"/>
    <s v="area_code_408"/>
    <x v="0"/>
    <x v="1"/>
    <n v="0"/>
    <n v="217.6"/>
    <n v="81"/>
    <n v="36.99"/>
    <n v="320.5"/>
    <n v="51"/>
    <n v="27.24"/>
    <n v="150.69999999999999"/>
    <n v="110"/>
    <n v="6.78"/>
    <x v="134"/>
    <x v="0"/>
    <x v="134"/>
    <x v="1"/>
    <x v="0"/>
  </r>
  <r>
    <s v="NJ"/>
    <x v="0"/>
    <s v="area_code_415"/>
    <x v="0"/>
    <x v="1"/>
    <n v="0"/>
    <n v="212.1"/>
    <n v="95"/>
    <n v="36.06"/>
    <n v="150.1"/>
    <n v="88"/>
    <n v="12.76"/>
    <n v="219.8"/>
    <n v="111"/>
    <n v="9.89"/>
    <x v="18"/>
    <x v="5"/>
    <x v="18"/>
    <x v="3"/>
    <x v="0"/>
  </r>
  <r>
    <s v="MO"/>
    <x v="34"/>
    <s v="area_code_415"/>
    <x v="0"/>
    <x v="0"/>
    <n v="30"/>
    <n v="154"/>
    <n v="75"/>
    <n v="26.18"/>
    <n v="165.8"/>
    <n v="97"/>
    <n v="14.09"/>
    <n v="270"/>
    <n v="83"/>
    <n v="12.15"/>
    <x v="81"/>
    <x v="1"/>
    <x v="81"/>
    <x v="0"/>
    <x v="0"/>
  </r>
  <r>
    <s v="AZ"/>
    <x v="15"/>
    <s v="area_code_415"/>
    <x v="0"/>
    <x v="1"/>
    <n v="0"/>
    <n v="175.4"/>
    <n v="130"/>
    <n v="29.82"/>
    <n v="248.1"/>
    <n v="105"/>
    <n v="21.09"/>
    <n v="122.4"/>
    <n v="85"/>
    <n v="5.51"/>
    <x v="1"/>
    <x v="4"/>
    <x v="1"/>
    <x v="1"/>
    <x v="0"/>
  </r>
  <r>
    <s v="NJ"/>
    <x v="119"/>
    <s v="area_code_510"/>
    <x v="0"/>
    <x v="0"/>
    <n v="22"/>
    <n v="152"/>
    <n v="63"/>
    <n v="25.84"/>
    <n v="258.8"/>
    <n v="131"/>
    <n v="22"/>
    <n v="263.2"/>
    <n v="109"/>
    <n v="11.84"/>
    <x v="135"/>
    <x v="1"/>
    <x v="135"/>
    <x v="2"/>
    <x v="1"/>
  </r>
  <r>
    <s v="WV"/>
    <x v="47"/>
    <s v="area_code_408"/>
    <x v="0"/>
    <x v="1"/>
    <n v="0"/>
    <n v="230.2"/>
    <n v="147"/>
    <n v="39.130000000000003"/>
    <n v="186.7"/>
    <n v="121"/>
    <n v="15.87"/>
    <n v="128.4"/>
    <n v="100"/>
    <n v="5.78"/>
    <x v="29"/>
    <x v="0"/>
    <x v="29"/>
    <x v="1"/>
    <x v="0"/>
  </r>
  <r>
    <s v="NM"/>
    <x v="66"/>
    <s v="area_code_408"/>
    <x v="0"/>
    <x v="0"/>
    <n v="33"/>
    <n v="174.9"/>
    <n v="103"/>
    <n v="29.73"/>
    <n v="248.2"/>
    <n v="105"/>
    <n v="21.1"/>
    <n v="164.6"/>
    <n v="116"/>
    <n v="7.41"/>
    <x v="88"/>
    <x v="0"/>
    <x v="88"/>
    <x v="0"/>
    <x v="1"/>
  </r>
  <r>
    <s v="SC"/>
    <x v="67"/>
    <s v="area_code_415"/>
    <x v="0"/>
    <x v="1"/>
    <n v="0"/>
    <n v="190.2"/>
    <n v="68"/>
    <n v="32.33"/>
    <n v="262.2"/>
    <n v="64"/>
    <n v="22.29"/>
    <n v="130"/>
    <n v="92"/>
    <n v="5.85"/>
    <x v="82"/>
    <x v="4"/>
    <x v="82"/>
    <x v="1"/>
    <x v="0"/>
  </r>
  <r>
    <s v="VT"/>
    <x v="13"/>
    <s v="area_code_415"/>
    <x v="0"/>
    <x v="1"/>
    <n v="0"/>
    <n v="176.4"/>
    <n v="122"/>
    <n v="29.99"/>
    <n v="224.9"/>
    <n v="123"/>
    <n v="19.12"/>
    <n v="219.6"/>
    <n v="50"/>
    <n v="9.8800000000000008"/>
    <x v="73"/>
    <x v="8"/>
    <x v="73"/>
    <x v="0"/>
    <x v="0"/>
  </r>
  <r>
    <s v="TN"/>
    <x v="33"/>
    <s v="area_code_415"/>
    <x v="0"/>
    <x v="1"/>
    <n v="0"/>
    <n v="160.9"/>
    <n v="95"/>
    <n v="27.35"/>
    <n v="251.2"/>
    <n v="65"/>
    <n v="21.35"/>
    <n v="273.39999999999998"/>
    <n v="97"/>
    <n v="12.3"/>
    <x v="105"/>
    <x v="1"/>
    <x v="105"/>
    <x v="3"/>
    <x v="0"/>
  </r>
  <r>
    <s v="LA"/>
    <x v="137"/>
    <s v="area_code_415"/>
    <x v="0"/>
    <x v="1"/>
    <n v="0"/>
    <n v="228.7"/>
    <n v="90"/>
    <n v="38.880000000000003"/>
    <n v="163"/>
    <n v="99"/>
    <n v="13.86"/>
    <n v="154.1"/>
    <n v="90"/>
    <n v="6.93"/>
    <x v="23"/>
    <x v="0"/>
    <x v="23"/>
    <x v="0"/>
    <x v="0"/>
  </r>
  <r>
    <s v="OH"/>
    <x v="1"/>
    <s v="area_code_408"/>
    <x v="0"/>
    <x v="1"/>
    <n v="0"/>
    <n v="144"/>
    <n v="90"/>
    <n v="24.48"/>
    <n v="181.6"/>
    <n v="100"/>
    <n v="15.44"/>
    <n v="128.1"/>
    <n v="93"/>
    <n v="5.76"/>
    <x v="10"/>
    <x v="5"/>
    <x v="10"/>
    <x v="1"/>
    <x v="0"/>
  </r>
  <r>
    <s v="OR"/>
    <x v="138"/>
    <s v="area_code_510"/>
    <x v="0"/>
    <x v="0"/>
    <n v="31"/>
    <n v="135.9"/>
    <n v="90"/>
    <n v="23.1"/>
    <n v="271"/>
    <n v="84"/>
    <n v="23.04"/>
    <n v="179.1"/>
    <n v="89"/>
    <n v="8.06"/>
    <x v="17"/>
    <x v="2"/>
    <x v="17"/>
    <x v="8"/>
    <x v="0"/>
  </r>
  <r>
    <s v="DE"/>
    <x v="131"/>
    <s v="area_code_510"/>
    <x v="0"/>
    <x v="1"/>
    <n v="0"/>
    <n v="334.3"/>
    <n v="118"/>
    <n v="56.83"/>
    <n v="192.1"/>
    <n v="104"/>
    <n v="16.329999999999998"/>
    <n v="191"/>
    <n v="83"/>
    <n v="8.59"/>
    <x v="91"/>
    <x v="3"/>
    <x v="91"/>
    <x v="1"/>
    <x v="1"/>
  </r>
  <r>
    <s v="KY"/>
    <x v="130"/>
    <s v="area_code_415"/>
    <x v="0"/>
    <x v="1"/>
    <n v="0"/>
    <n v="130.5"/>
    <n v="77"/>
    <n v="22.19"/>
    <n v="131.19999999999999"/>
    <n v="117"/>
    <n v="11.15"/>
    <n v="264.7"/>
    <n v="63"/>
    <n v="11.91"/>
    <x v="14"/>
    <x v="3"/>
    <x v="14"/>
    <x v="1"/>
    <x v="0"/>
  </r>
  <r>
    <s v="GA"/>
    <x v="67"/>
    <s v="area_code_408"/>
    <x v="0"/>
    <x v="0"/>
    <n v="21"/>
    <n v="134.19999999999999"/>
    <n v="105"/>
    <n v="22.81"/>
    <n v="162.5"/>
    <n v="128"/>
    <n v="13.81"/>
    <n v="186.6"/>
    <n v="90"/>
    <n v="8.4"/>
    <x v="23"/>
    <x v="5"/>
    <x v="23"/>
    <x v="4"/>
    <x v="1"/>
  </r>
  <r>
    <s v="VT"/>
    <x v="69"/>
    <s v="area_code_415"/>
    <x v="0"/>
    <x v="1"/>
    <n v="0"/>
    <n v="278"/>
    <n v="102"/>
    <n v="47.26"/>
    <n v="266.39999999999998"/>
    <n v="114"/>
    <n v="22.64"/>
    <n v="224.1"/>
    <n v="118"/>
    <n v="10.08"/>
    <x v="67"/>
    <x v="4"/>
    <x v="67"/>
    <x v="4"/>
    <x v="1"/>
  </r>
  <r>
    <s v="OR"/>
    <x v="12"/>
    <s v="area_code_415"/>
    <x v="0"/>
    <x v="1"/>
    <n v="0"/>
    <n v="105.4"/>
    <n v="70"/>
    <n v="17.920000000000002"/>
    <n v="214.8"/>
    <n v="122"/>
    <n v="18.260000000000002"/>
    <n v="223.6"/>
    <n v="126"/>
    <n v="10.06"/>
    <x v="35"/>
    <x v="1"/>
    <x v="35"/>
    <x v="1"/>
    <x v="0"/>
  </r>
  <r>
    <s v="TX"/>
    <x v="54"/>
    <s v="area_code_510"/>
    <x v="0"/>
    <x v="1"/>
    <n v="0"/>
    <n v="188.9"/>
    <n v="94"/>
    <n v="32.11"/>
    <n v="203.9"/>
    <n v="104"/>
    <n v="17.329999999999998"/>
    <n v="151.80000000000001"/>
    <n v="124"/>
    <n v="6.83"/>
    <x v="43"/>
    <x v="10"/>
    <x v="43"/>
    <x v="3"/>
    <x v="0"/>
  </r>
  <r>
    <s v="MO"/>
    <x v="78"/>
    <s v="area_code_408"/>
    <x v="0"/>
    <x v="0"/>
    <n v="24"/>
    <n v="111.8"/>
    <n v="85"/>
    <n v="19.010000000000002"/>
    <n v="239.6"/>
    <n v="102"/>
    <n v="20.37"/>
    <n v="268.3"/>
    <n v="81"/>
    <n v="12.07"/>
    <x v="72"/>
    <x v="4"/>
    <x v="72"/>
    <x v="0"/>
    <x v="0"/>
  </r>
  <r>
    <s v="ND"/>
    <x v="2"/>
    <s v="area_code_415"/>
    <x v="0"/>
    <x v="0"/>
    <n v="33"/>
    <n v="159.1"/>
    <n v="106"/>
    <n v="27.05"/>
    <n v="149.80000000000001"/>
    <n v="101"/>
    <n v="12.73"/>
    <n v="213.4"/>
    <n v="108"/>
    <n v="9.6"/>
    <x v="14"/>
    <x v="16"/>
    <x v="14"/>
    <x v="0"/>
    <x v="0"/>
  </r>
  <r>
    <s v="MN"/>
    <x v="73"/>
    <s v="area_code_510"/>
    <x v="0"/>
    <x v="1"/>
    <n v="0"/>
    <n v="212.4"/>
    <n v="105"/>
    <n v="36.11"/>
    <n v="224.6"/>
    <n v="118"/>
    <n v="19.09"/>
    <n v="221.3"/>
    <n v="105"/>
    <n v="9.9600000000000009"/>
    <x v="62"/>
    <x v="4"/>
    <x v="62"/>
    <x v="0"/>
    <x v="0"/>
  </r>
  <r>
    <s v="NV"/>
    <x v="16"/>
    <s v="area_code_415"/>
    <x v="0"/>
    <x v="1"/>
    <n v="0"/>
    <n v="142.30000000000001"/>
    <n v="112"/>
    <n v="24.19"/>
    <n v="306.3"/>
    <n v="111"/>
    <n v="26.04"/>
    <n v="196.5"/>
    <n v="82"/>
    <n v="8.84"/>
    <x v="79"/>
    <x v="8"/>
    <x v="79"/>
    <x v="0"/>
    <x v="0"/>
  </r>
  <r>
    <s v="NY"/>
    <x v="32"/>
    <s v="area_code_415"/>
    <x v="1"/>
    <x v="1"/>
    <n v="0"/>
    <n v="346.8"/>
    <n v="55"/>
    <n v="58.96"/>
    <n v="249.5"/>
    <n v="79"/>
    <n v="21.21"/>
    <n v="275.39999999999998"/>
    <n v="102"/>
    <n v="12.39"/>
    <x v="64"/>
    <x v="6"/>
    <x v="64"/>
    <x v="0"/>
    <x v="1"/>
  </r>
  <r>
    <s v="FL"/>
    <x v="135"/>
    <s v="area_code_415"/>
    <x v="0"/>
    <x v="0"/>
    <n v="15"/>
    <n v="113.9"/>
    <n v="102"/>
    <n v="19.36"/>
    <n v="145.30000000000001"/>
    <n v="146"/>
    <n v="12.35"/>
    <n v="195.2"/>
    <n v="137"/>
    <n v="8.7799999999999994"/>
    <x v="23"/>
    <x v="6"/>
    <x v="23"/>
    <x v="0"/>
    <x v="0"/>
  </r>
  <r>
    <s v="KS"/>
    <x v="77"/>
    <s v="area_code_415"/>
    <x v="1"/>
    <x v="0"/>
    <n v="27"/>
    <n v="267.89999999999998"/>
    <n v="103"/>
    <n v="45.54"/>
    <n v="263.3"/>
    <n v="74"/>
    <n v="22.38"/>
    <n v="178.1"/>
    <n v="106"/>
    <n v="8.01"/>
    <x v="24"/>
    <x v="5"/>
    <x v="24"/>
    <x v="0"/>
    <x v="1"/>
  </r>
  <r>
    <s v="NV"/>
    <x v="176"/>
    <s v="area_code_408"/>
    <x v="0"/>
    <x v="1"/>
    <n v="0"/>
    <n v="275.39999999999998"/>
    <n v="150"/>
    <n v="46.82"/>
    <n v="187.5"/>
    <n v="62"/>
    <n v="15.94"/>
    <n v="147.1"/>
    <n v="126"/>
    <n v="6.62"/>
    <x v="109"/>
    <x v="0"/>
    <x v="109"/>
    <x v="0"/>
    <x v="0"/>
  </r>
  <r>
    <s v="MI"/>
    <x v="54"/>
    <s v="area_code_415"/>
    <x v="0"/>
    <x v="0"/>
    <n v="35"/>
    <n v="192.6"/>
    <n v="97"/>
    <n v="32.74"/>
    <n v="135.19999999999999"/>
    <n v="101"/>
    <n v="11.49"/>
    <n v="216.2"/>
    <n v="101"/>
    <n v="9.73"/>
    <x v="57"/>
    <x v="5"/>
    <x v="57"/>
    <x v="2"/>
    <x v="0"/>
  </r>
  <r>
    <s v="MI"/>
    <x v="107"/>
    <s v="area_code_510"/>
    <x v="0"/>
    <x v="0"/>
    <n v="26"/>
    <n v="91.7"/>
    <n v="104"/>
    <n v="15.59"/>
    <n v="150.6"/>
    <n v="119"/>
    <n v="12.8"/>
    <n v="63.3"/>
    <n v="103"/>
    <n v="2.85"/>
    <x v="18"/>
    <x v="1"/>
    <x v="18"/>
    <x v="0"/>
    <x v="0"/>
  </r>
  <r>
    <s v="TN"/>
    <x v="58"/>
    <s v="area_code_510"/>
    <x v="0"/>
    <x v="1"/>
    <n v="0"/>
    <n v="126.3"/>
    <n v="99"/>
    <n v="21.47"/>
    <n v="141.6"/>
    <n v="106"/>
    <n v="12.04"/>
    <n v="255.9"/>
    <n v="96"/>
    <n v="11.52"/>
    <x v="63"/>
    <x v="5"/>
    <x v="63"/>
    <x v="1"/>
    <x v="0"/>
  </r>
  <r>
    <s v="NV"/>
    <x v="60"/>
    <s v="area_code_510"/>
    <x v="0"/>
    <x v="1"/>
    <n v="0"/>
    <n v="190.6"/>
    <n v="108"/>
    <n v="32.4"/>
    <n v="152.30000000000001"/>
    <n v="95"/>
    <n v="12.95"/>
    <n v="144.69999999999999"/>
    <n v="97"/>
    <n v="6.51"/>
    <x v="4"/>
    <x v="1"/>
    <x v="4"/>
    <x v="0"/>
    <x v="0"/>
  </r>
  <r>
    <s v="IL"/>
    <x v="92"/>
    <s v="area_code_510"/>
    <x v="0"/>
    <x v="1"/>
    <n v="0"/>
    <n v="116.1"/>
    <n v="101"/>
    <n v="19.739999999999998"/>
    <n v="201.8"/>
    <n v="99"/>
    <n v="17.149999999999999"/>
    <n v="181.9"/>
    <n v="103"/>
    <n v="8.19"/>
    <x v="43"/>
    <x v="1"/>
    <x v="43"/>
    <x v="1"/>
    <x v="0"/>
  </r>
  <r>
    <s v="MS"/>
    <x v="43"/>
    <s v="area_code_415"/>
    <x v="0"/>
    <x v="1"/>
    <n v="0"/>
    <n v="217.3"/>
    <n v="91"/>
    <n v="36.94"/>
    <n v="216.1"/>
    <n v="95"/>
    <n v="18.37"/>
    <n v="148.1"/>
    <n v="76"/>
    <n v="6.66"/>
    <x v="61"/>
    <x v="0"/>
    <x v="61"/>
    <x v="2"/>
    <x v="0"/>
  </r>
  <r>
    <s v="ND"/>
    <x v="33"/>
    <s v="area_code_510"/>
    <x v="0"/>
    <x v="1"/>
    <n v="0"/>
    <n v="179.4"/>
    <n v="80"/>
    <n v="30.5"/>
    <n v="232.5"/>
    <n v="99"/>
    <n v="19.760000000000002"/>
    <n v="175.8"/>
    <n v="105"/>
    <n v="7.91"/>
    <x v="20"/>
    <x v="0"/>
    <x v="20"/>
    <x v="1"/>
    <x v="0"/>
  </r>
  <r>
    <s v="NC"/>
    <x v="148"/>
    <s v="area_code_415"/>
    <x v="0"/>
    <x v="1"/>
    <n v="0"/>
    <n v="207.7"/>
    <n v="109"/>
    <n v="35.31"/>
    <n v="164.8"/>
    <n v="94"/>
    <n v="14.01"/>
    <n v="54.5"/>
    <n v="91"/>
    <n v="2.4500000000000002"/>
    <x v="57"/>
    <x v="0"/>
    <x v="57"/>
    <x v="1"/>
    <x v="0"/>
  </r>
  <r>
    <s v="TN"/>
    <x v="141"/>
    <s v="area_code_415"/>
    <x v="0"/>
    <x v="1"/>
    <n v="0"/>
    <n v="125.3"/>
    <n v="84"/>
    <n v="21.3"/>
    <n v="167.6"/>
    <n v="121"/>
    <n v="14.25"/>
    <n v="260.60000000000002"/>
    <n v="94"/>
    <n v="11.73"/>
    <x v="80"/>
    <x v="4"/>
    <x v="80"/>
    <x v="0"/>
    <x v="0"/>
  </r>
  <r>
    <s v="VT"/>
    <x v="67"/>
    <s v="area_code_408"/>
    <x v="0"/>
    <x v="0"/>
    <n v="32"/>
    <n v="138.1"/>
    <n v="91"/>
    <n v="23.48"/>
    <n v="167.3"/>
    <n v="72"/>
    <n v="14.22"/>
    <n v="238.9"/>
    <n v="115"/>
    <n v="10.75"/>
    <x v="36"/>
    <x v="0"/>
    <x v="36"/>
    <x v="2"/>
    <x v="0"/>
  </r>
  <r>
    <s v="OK"/>
    <x v="36"/>
    <s v="area_code_510"/>
    <x v="0"/>
    <x v="0"/>
    <n v="38"/>
    <n v="169.3"/>
    <n v="88"/>
    <n v="28.78"/>
    <n v="225.9"/>
    <n v="97"/>
    <n v="19.2"/>
    <n v="172"/>
    <n v="86"/>
    <n v="7.74"/>
    <x v="45"/>
    <x v="0"/>
    <x v="45"/>
    <x v="1"/>
    <x v="0"/>
  </r>
  <r>
    <s v="DE"/>
    <x v="32"/>
    <s v="area_code_415"/>
    <x v="0"/>
    <x v="0"/>
    <n v="27"/>
    <n v="201.3"/>
    <n v="101"/>
    <n v="34.22"/>
    <n v="143.80000000000001"/>
    <n v="89"/>
    <n v="12.22"/>
    <n v="150.19999999999999"/>
    <n v="127"/>
    <n v="6.76"/>
    <x v="10"/>
    <x v="0"/>
    <x v="10"/>
    <x v="0"/>
    <x v="0"/>
  </r>
  <r>
    <s v="OR"/>
    <x v="119"/>
    <s v="area_code_415"/>
    <x v="0"/>
    <x v="1"/>
    <n v="0"/>
    <n v="190.4"/>
    <n v="92"/>
    <n v="32.369999999999997"/>
    <n v="317.5"/>
    <n v="85"/>
    <n v="26.99"/>
    <n v="133.4"/>
    <n v="113"/>
    <n v="6"/>
    <x v="24"/>
    <x v="4"/>
    <x v="24"/>
    <x v="2"/>
    <x v="0"/>
  </r>
  <r>
    <s v="NY"/>
    <x v="177"/>
    <s v="area_code_408"/>
    <x v="0"/>
    <x v="1"/>
    <n v="0"/>
    <n v="143.30000000000001"/>
    <n v="91"/>
    <n v="24.36"/>
    <n v="195.5"/>
    <n v="58"/>
    <n v="16.62"/>
    <n v="223.3"/>
    <n v="95"/>
    <n v="10.050000000000001"/>
    <x v="120"/>
    <x v="2"/>
    <x v="120"/>
    <x v="0"/>
    <x v="0"/>
  </r>
  <r>
    <s v="MO"/>
    <x v="10"/>
    <s v="area_code_415"/>
    <x v="0"/>
    <x v="0"/>
    <n v="42"/>
    <n v="97.4"/>
    <n v="57"/>
    <n v="16.559999999999999"/>
    <n v="203.6"/>
    <n v="98"/>
    <n v="17.309999999999999"/>
    <n v="173.9"/>
    <n v="124"/>
    <n v="7.83"/>
    <x v="37"/>
    <x v="5"/>
    <x v="37"/>
    <x v="2"/>
    <x v="0"/>
  </r>
  <r>
    <s v="FL"/>
    <x v="61"/>
    <s v="area_code_415"/>
    <x v="0"/>
    <x v="1"/>
    <n v="0"/>
    <n v="181.4"/>
    <n v="111"/>
    <n v="30.84"/>
    <n v="167.7"/>
    <n v="92"/>
    <n v="14.25"/>
    <n v="168.5"/>
    <n v="122"/>
    <n v="7.58"/>
    <x v="61"/>
    <x v="0"/>
    <x v="61"/>
    <x v="3"/>
    <x v="0"/>
  </r>
  <r>
    <s v="ND"/>
    <x v="102"/>
    <s v="area_code_510"/>
    <x v="0"/>
    <x v="1"/>
    <n v="0"/>
    <n v="246.4"/>
    <n v="83"/>
    <n v="41.89"/>
    <n v="256.2"/>
    <n v="101"/>
    <n v="21.78"/>
    <n v="169"/>
    <n v="151"/>
    <n v="7.61"/>
    <x v="136"/>
    <x v="4"/>
    <x v="136"/>
    <x v="1"/>
    <x v="0"/>
  </r>
  <r>
    <s v="ND"/>
    <x v="178"/>
    <s v="area_code_415"/>
    <x v="0"/>
    <x v="1"/>
    <n v="0"/>
    <n v="104.9"/>
    <n v="111"/>
    <n v="17.829999999999998"/>
    <n v="198.5"/>
    <n v="120"/>
    <n v="16.87"/>
    <n v="258.2"/>
    <n v="91"/>
    <n v="11.62"/>
    <x v="40"/>
    <x v="1"/>
    <x v="40"/>
    <x v="2"/>
    <x v="0"/>
  </r>
  <r>
    <s v="NY"/>
    <x v="130"/>
    <s v="area_code_415"/>
    <x v="0"/>
    <x v="1"/>
    <n v="0"/>
    <n v="156.19999999999999"/>
    <n v="93"/>
    <n v="26.55"/>
    <n v="193"/>
    <n v="54"/>
    <n v="16.41"/>
    <n v="222.7"/>
    <n v="94"/>
    <n v="10.02"/>
    <x v="67"/>
    <x v="1"/>
    <x v="67"/>
    <x v="0"/>
    <x v="0"/>
  </r>
  <r>
    <s v="OH"/>
    <x v="147"/>
    <s v="area_code_415"/>
    <x v="0"/>
    <x v="1"/>
    <n v="0"/>
    <n v="114.8"/>
    <n v="125"/>
    <n v="19.52"/>
    <n v="81.900000000000006"/>
    <n v="126"/>
    <n v="6.96"/>
    <n v="304.3"/>
    <n v="101"/>
    <n v="13.69"/>
    <x v="42"/>
    <x v="4"/>
    <x v="42"/>
    <x v="1"/>
    <x v="0"/>
  </r>
  <r>
    <s v="AL"/>
    <x v="66"/>
    <s v="area_code_415"/>
    <x v="0"/>
    <x v="1"/>
    <n v="0"/>
    <n v="232.5"/>
    <n v="96"/>
    <n v="39.53"/>
    <n v="205.5"/>
    <n v="120"/>
    <n v="17.47"/>
    <n v="213.7"/>
    <n v="91"/>
    <n v="9.6199999999999992"/>
    <x v="78"/>
    <x v="5"/>
    <x v="78"/>
    <x v="1"/>
    <x v="0"/>
  </r>
  <r>
    <s v="SC"/>
    <x v="70"/>
    <s v="area_code_415"/>
    <x v="0"/>
    <x v="1"/>
    <n v="0"/>
    <n v="143.6"/>
    <n v="117"/>
    <n v="24.41"/>
    <n v="152.4"/>
    <n v="108"/>
    <n v="12.95"/>
    <n v="194.4"/>
    <n v="110"/>
    <n v="8.75"/>
    <x v="53"/>
    <x v="0"/>
    <x v="53"/>
    <x v="0"/>
    <x v="0"/>
  </r>
  <r>
    <s v="GA"/>
    <x v="19"/>
    <s v="area_code_415"/>
    <x v="0"/>
    <x v="1"/>
    <n v="0"/>
    <n v="176.7"/>
    <n v="132"/>
    <n v="30.04"/>
    <n v="244.1"/>
    <n v="80"/>
    <n v="20.75"/>
    <n v="176.3"/>
    <n v="120"/>
    <n v="7.93"/>
    <x v="9"/>
    <x v="4"/>
    <x v="9"/>
    <x v="2"/>
    <x v="0"/>
  </r>
  <r>
    <s v="WY"/>
    <x v="14"/>
    <s v="area_code_415"/>
    <x v="0"/>
    <x v="1"/>
    <n v="0"/>
    <n v="263.39999999999998"/>
    <n v="148"/>
    <n v="44.78"/>
    <n v="230.3"/>
    <n v="69"/>
    <n v="19.579999999999998"/>
    <n v="170.6"/>
    <n v="101"/>
    <n v="7.68"/>
    <x v="37"/>
    <x v="1"/>
    <x v="37"/>
    <x v="0"/>
    <x v="1"/>
  </r>
  <r>
    <s v="WV"/>
    <x v="163"/>
    <s v="area_code_415"/>
    <x v="0"/>
    <x v="1"/>
    <n v="0"/>
    <n v="146.4"/>
    <n v="74"/>
    <n v="24.89"/>
    <n v="148.5"/>
    <n v="92"/>
    <n v="12.62"/>
    <n v="216.7"/>
    <n v="96"/>
    <n v="9.75"/>
    <x v="61"/>
    <x v="0"/>
    <x v="61"/>
    <x v="0"/>
    <x v="0"/>
  </r>
  <r>
    <s v="HI"/>
    <x v="85"/>
    <s v="area_code_415"/>
    <x v="0"/>
    <x v="0"/>
    <n v="33"/>
    <n v="145"/>
    <n v="72"/>
    <n v="24.65"/>
    <n v="194.5"/>
    <n v="157"/>
    <n v="16.53"/>
    <n v="242.3"/>
    <n v="138"/>
    <n v="10.9"/>
    <x v="66"/>
    <x v="0"/>
    <x v="66"/>
    <x v="2"/>
    <x v="0"/>
  </r>
  <r>
    <s v="WV"/>
    <x v="93"/>
    <s v="area_code_408"/>
    <x v="0"/>
    <x v="1"/>
    <n v="0"/>
    <n v="167.8"/>
    <n v="91"/>
    <n v="28.53"/>
    <n v="167.7"/>
    <n v="69"/>
    <n v="14.25"/>
    <n v="110.3"/>
    <n v="71"/>
    <n v="4.96"/>
    <x v="80"/>
    <x v="14"/>
    <x v="80"/>
    <x v="0"/>
    <x v="0"/>
  </r>
  <r>
    <s v="AR"/>
    <x v="108"/>
    <s v="area_code_510"/>
    <x v="0"/>
    <x v="1"/>
    <n v="0"/>
    <n v="142.5"/>
    <n v="87"/>
    <n v="24.23"/>
    <n v="195.7"/>
    <n v="88"/>
    <n v="16.63"/>
    <n v="122.1"/>
    <n v="117"/>
    <n v="5.49"/>
    <x v="35"/>
    <x v="10"/>
    <x v="35"/>
    <x v="2"/>
    <x v="0"/>
  </r>
  <r>
    <s v="AK"/>
    <x v="117"/>
    <s v="area_code_510"/>
    <x v="1"/>
    <x v="1"/>
    <n v="0"/>
    <n v="133"/>
    <n v="65"/>
    <n v="22.61"/>
    <n v="262.8"/>
    <n v="93"/>
    <n v="22.34"/>
    <n v="214.3"/>
    <n v="128"/>
    <n v="9.64"/>
    <x v="7"/>
    <x v="0"/>
    <x v="7"/>
    <x v="0"/>
    <x v="0"/>
  </r>
  <r>
    <s v="DC"/>
    <x v="88"/>
    <s v="area_code_415"/>
    <x v="0"/>
    <x v="0"/>
    <n v="11"/>
    <n v="252.9"/>
    <n v="129"/>
    <n v="42.99"/>
    <n v="284.3"/>
    <n v="88"/>
    <n v="24.17"/>
    <n v="262.8"/>
    <n v="99"/>
    <n v="11.83"/>
    <x v="10"/>
    <x v="8"/>
    <x v="10"/>
    <x v="0"/>
    <x v="0"/>
  </r>
  <r>
    <s v="AL"/>
    <x v="93"/>
    <s v="area_code_415"/>
    <x v="0"/>
    <x v="0"/>
    <n v="28"/>
    <n v="95"/>
    <n v="94"/>
    <n v="16.149999999999999"/>
    <n v="291.2"/>
    <n v="73"/>
    <n v="24.75"/>
    <n v="159.6"/>
    <n v="114"/>
    <n v="7.18"/>
    <x v="13"/>
    <x v="5"/>
    <x v="13"/>
    <x v="2"/>
    <x v="0"/>
  </r>
  <r>
    <s v="UT"/>
    <x v="12"/>
    <s v="area_code_510"/>
    <x v="1"/>
    <x v="1"/>
    <n v="0"/>
    <n v="194.2"/>
    <n v="106"/>
    <n v="33.01"/>
    <n v="249.4"/>
    <n v="105"/>
    <n v="21.2"/>
    <n v="254.9"/>
    <n v="129"/>
    <n v="11.47"/>
    <x v="89"/>
    <x v="8"/>
    <x v="89"/>
    <x v="0"/>
    <x v="1"/>
  </r>
  <r>
    <s v="KS"/>
    <x v="58"/>
    <s v="area_code_415"/>
    <x v="0"/>
    <x v="1"/>
    <n v="0"/>
    <n v="222.8"/>
    <n v="114"/>
    <n v="37.880000000000003"/>
    <n v="215.9"/>
    <n v="113"/>
    <n v="18.350000000000001"/>
    <n v="223.5"/>
    <n v="122"/>
    <n v="10.06"/>
    <x v="77"/>
    <x v="13"/>
    <x v="77"/>
    <x v="0"/>
    <x v="0"/>
  </r>
  <r>
    <s v="VA"/>
    <x v="63"/>
    <s v="area_code_415"/>
    <x v="0"/>
    <x v="0"/>
    <n v="42"/>
    <n v="216"/>
    <n v="125"/>
    <n v="36.72"/>
    <n v="232.3"/>
    <n v="104"/>
    <n v="19.75"/>
    <n v="215.5"/>
    <n v="100"/>
    <n v="9.6999999999999993"/>
    <x v="38"/>
    <x v="4"/>
    <x v="38"/>
    <x v="2"/>
    <x v="1"/>
  </r>
  <r>
    <s v="UT"/>
    <x v="137"/>
    <s v="area_code_415"/>
    <x v="0"/>
    <x v="1"/>
    <n v="0"/>
    <n v="146.30000000000001"/>
    <n v="108"/>
    <n v="24.87"/>
    <n v="171.8"/>
    <n v="102"/>
    <n v="14.6"/>
    <n v="167.5"/>
    <n v="66"/>
    <n v="7.54"/>
    <x v="58"/>
    <x v="6"/>
    <x v="58"/>
    <x v="0"/>
    <x v="0"/>
  </r>
  <r>
    <s v="DE"/>
    <x v="100"/>
    <s v="area_code_408"/>
    <x v="0"/>
    <x v="1"/>
    <n v="0"/>
    <n v="94.4"/>
    <n v="80"/>
    <n v="16.05"/>
    <n v="215.1"/>
    <n v="101"/>
    <n v="18.28"/>
    <n v="179.7"/>
    <n v="108"/>
    <n v="8.09"/>
    <x v="67"/>
    <x v="6"/>
    <x v="67"/>
    <x v="2"/>
    <x v="0"/>
  </r>
  <r>
    <s v="VT"/>
    <x v="115"/>
    <s v="area_code_510"/>
    <x v="0"/>
    <x v="1"/>
    <n v="0"/>
    <n v="190.4"/>
    <n v="74"/>
    <n v="32.369999999999997"/>
    <n v="215.6"/>
    <n v="113"/>
    <n v="18.329999999999998"/>
    <n v="161.19999999999999"/>
    <n v="111"/>
    <n v="7.25"/>
    <x v="13"/>
    <x v="8"/>
    <x v="13"/>
    <x v="2"/>
    <x v="0"/>
  </r>
  <r>
    <s v="MO"/>
    <x v="115"/>
    <s v="area_code_408"/>
    <x v="0"/>
    <x v="0"/>
    <n v="32"/>
    <n v="142.6"/>
    <n v="77"/>
    <n v="24.24"/>
    <n v="208.2"/>
    <n v="126"/>
    <n v="17.7"/>
    <n v="171"/>
    <n v="102"/>
    <n v="7.69"/>
    <x v="42"/>
    <x v="5"/>
    <x v="42"/>
    <x v="3"/>
    <x v="0"/>
  </r>
  <r>
    <s v="RI"/>
    <x v="137"/>
    <s v="area_code_510"/>
    <x v="1"/>
    <x v="1"/>
    <n v="0"/>
    <n v="134.19999999999999"/>
    <n v="80"/>
    <n v="22.81"/>
    <n v="165"/>
    <n v="71"/>
    <n v="14.03"/>
    <n v="173.1"/>
    <n v="102"/>
    <n v="7.79"/>
    <x v="85"/>
    <x v="1"/>
    <x v="85"/>
    <x v="1"/>
    <x v="0"/>
  </r>
  <r>
    <s v="CA"/>
    <x v="126"/>
    <s v="area_code_415"/>
    <x v="0"/>
    <x v="1"/>
    <n v="0"/>
    <n v="111.9"/>
    <n v="92"/>
    <n v="19.02"/>
    <n v="114"/>
    <n v="143"/>
    <n v="9.69"/>
    <n v="146.80000000000001"/>
    <n v="79"/>
    <n v="6.61"/>
    <x v="71"/>
    <x v="0"/>
    <x v="71"/>
    <x v="5"/>
    <x v="1"/>
  </r>
  <r>
    <s v="RI"/>
    <x v="3"/>
    <s v="area_code_415"/>
    <x v="0"/>
    <x v="1"/>
    <n v="0"/>
    <n v="122.8"/>
    <n v="89"/>
    <n v="20.88"/>
    <n v="211.3"/>
    <n v="104"/>
    <n v="17.96"/>
    <n v="261.39999999999998"/>
    <n v="91"/>
    <n v="11.76"/>
    <x v="85"/>
    <x v="5"/>
    <x v="85"/>
    <x v="2"/>
    <x v="0"/>
  </r>
  <r>
    <s v="CT"/>
    <x v="50"/>
    <s v="area_code_510"/>
    <x v="0"/>
    <x v="1"/>
    <n v="0"/>
    <n v="189.3"/>
    <n v="77"/>
    <n v="32.18"/>
    <n v="220.9"/>
    <n v="105"/>
    <n v="18.78"/>
    <n v="238.7"/>
    <n v="117"/>
    <n v="10.74"/>
    <x v="29"/>
    <x v="1"/>
    <x v="29"/>
    <x v="4"/>
    <x v="0"/>
  </r>
  <r>
    <s v="IN"/>
    <x v="12"/>
    <s v="area_code_510"/>
    <x v="0"/>
    <x v="0"/>
    <n v="38"/>
    <n v="240.4"/>
    <n v="112"/>
    <n v="40.869999999999997"/>
    <n v="201.8"/>
    <n v="102"/>
    <n v="17.149999999999999"/>
    <n v="206.1"/>
    <n v="112"/>
    <n v="9.27"/>
    <x v="137"/>
    <x v="3"/>
    <x v="137"/>
    <x v="1"/>
    <x v="0"/>
  </r>
  <r>
    <s v="FL"/>
    <x v="75"/>
    <s v="area_code_510"/>
    <x v="1"/>
    <x v="0"/>
    <n v="24"/>
    <n v="93.5"/>
    <n v="112"/>
    <n v="15.9"/>
    <n v="183.4"/>
    <n v="128"/>
    <n v="15.59"/>
    <n v="240.7"/>
    <n v="133"/>
    <n v="10.83"/>
    <x v="79"/>
    <x v="0"/>
    <x v="79"/>
    <x v="1"/>
    <x v="0"/>
  </r>
  <r>
    <s v="KS"/>
    <x v="146"/>
    <s v="area_code_415"/>
    <x v="0"/>
    <x v="1"/>
    <n v="0"/>
    <n v="158.6"/>
    <n v="104"/>
    <n v="26.96"/>
    <n v="211.2"/>
    <n v="77"/>
    <n v="17.95"/>
    <n v="179.3"/>
    <n v="104"/>
    <n v="8.07"/>
    <x v="39"/>
    <x v="10"/>
    <x v="39"/>
    <x v="3"/>
    <x v="0"/>
  </r>
  <r>
    <s v="NY"/>
    <x v="60"/>
    <s v="area_code_510"/>
    <x v="1"/>
    <x v="1"/>
    <n v="0"/>
    <n v="243.2"/>
    <n v="109"/>
    <n v="41.34"/>
    <n v="147"/>
    <n v="88"/>
    <n v="12.5"/>
    <n v="94.9"/>
    <n v="99"/>
    <n v="4.2699999999999996"/>
    <x v="68"/>
    <x v="4"/>
    <x v="68"/>
    <x v="4"/>
    <x v="0"/>
  </r>
  <r>
    <s v="TX"/>
    <x v="179"/>
    <s v="area_code_408"/>
    <x v="0"/>
    <x v="1"/>
    <n v="0"/>
    <n v="176.4"/>
    <n v="115"/>
    <n v="29.99"/>
    <n v="158.80000000000001"/>
    <n v="128"/>
    <n v="13.5"/>
    <n v="306.60000000000002"/>
    <n v="107"/>
    <n v="13.8"/>
    <x v="38"/>
    <x v="0"/>
    <x v="38"/>
    <x v="4"/>
    <x v="0"/>
  </r>
  <r>
    <s v="RI"/>
    <x v="124"/>
    <s v="area_code_510"/>
    <x v="0"/>
    <x v="1"/>
    <n v="0"/>
    <n v="220.9"/>
    <n v="129"/>
    <n v="37.549999999999997"/>
    <n v="242.2"/>
    <n v="108"/>
    <n v="20.59"/>
    <n v="233.3"/>
    <n v="75"/>
    <n v="10.5"/>
    <x v="69"/>
    <x v="1"/>
    <x v="69"/>
    <x v="1"/>
    <x v="0"/>
  </r>
  <r>
    <s v="NV"/>
    <x v="147"/>
    <s v="area_code_415"/>
    <x v="0"/>
    <x v="1"/>
    <n v="0"/>
    <n v="144.4"/>
    <n v="87"/>
    <n v="24.55"/>
    <n v="266.5"/>
    <n v="128"/>
    <n v="22.65"/>
    <n v="217.6"/>
    <n v="59"/>
    <n v="9.7899999999999991"/>
    <x v="5"/>
    <x v="2"/>
    <x v="5"/>
    <x v="1"/>
    <x v="0"/>
  </r>
  <r>
    <s v="UT"/>
    <x v="13"/>
    <s v="area_code_510"/>
    <x v="0"/>
    <x v="1"/>
    <n v="0"/>
    <n v="212.3"/>
    <n v="107"/>
    <n v="36.090000000000003"/>
    <n v="228.4"/>
    <n v="103"/>
    <n v="19.41"/>
    <n v="163.30000000000001"/>
    <n v="116"/>
    <n v="7.35"/>
    <x v="18"/>
    <x v="0"/>
    <x v="18"/>
    <x v="1"/>
    <x v="0"/>
  </r>
  <r>
    <s v="OK"/>
    <x v="134"/>
    <s v="area_code_510"/>
    <x v="0"/>
    <x v="1"/>
    <n v="0"/>
    <n v="147"/>
    <n v="72"/>
    <n v="24.99"/>
    <n v="165.7"/>
    <n v="102"/>
    <n v="14.08"/>
    <n v="243.2"/>
    <n v="107"/>
    <n v="10.94"/>
    <x v="80"/>
    <x v="6"/>
    <x v="80"/>
    <x v="0"/>
    <x v="0"/>
  </r>
  <r>
    <s v="MN"/>
    <x v="83"/>
    <s v="area_code_510"/>
    <x v="0"/>
    <x v="0"/>
    <n v="25"/>
    <n v="96.2"/>
    <n v="112"/>
    <n v="16.350000000000001"/>
    <n v="178.9"/>
    <n v="70"/>
    <n v="15.21"/>
    <n v="182.1"/>
    <n v="84"/>
    <n v="8.19"/>
    <x v="89"/>
    <x v="11"/>
    <x v="89"/>
    <x v="2"/>
    <x v="0"/>
  </r>
  <r>
    <s v="NC"/>
    <x v="78"/>
    <s v="area_code_415"/>
    <x v="0"/>
    <x v="1"/>
    <n v="0"/>
    <n v="263.39999999999998"/>
    <n v="118"/>
    <n v="44.78"/>
    <n v="179.1"/>
    <n v="69"/>
    <n v="15.22"/>
    <n v="214.7"/>
    <n v="112"/>
    <n v="9.66"/>
    <x v="19"/>
    <x v="5"/>
    <x v="19"/>
    <x v="1"/>
    <x v="0"/>
  </r>
  <r>
    <s v="NH"/>
    <x v="26"/>
    <s v="area_code_408"/>
    <x v="0"/>
    <x v="1"/>
    <n v="0"/>
    <n v="162.30000000000001"/>
    <n v="116"/>
    <n v="27.59"/>
    <n v="192.4"/>
    <n v="86"/>
    <n v="16.350000000000001"/>
    <n v="240.6"/>
    <n v="100"/>
    <n v="10.83"/>
    <x v="3"/>
    <x v="0"/>
    <x v="3"/>
    <x v="2"/>
    <x v="0"/>
  </r>
  <r>
    <s v="AK"/>
    <x v="54"/>
    <s v="area_code_408"/>
    <x v="0"/>
    <x v="1"/>
    <n v="0"/>
    <n v="183.6"/>
    <n v="107"/>
    <n v="31.21"/>
    <n v="58.6"/>
    <n v="118"/>
    <n v="4.9800000000000004"/>
    <n v="202.6"/>
    <n v="99"/>
    <n v="9.1199999999999992"/>
    <x v="6"/>
    <x v="0"/>
    <x v="6"/>
    <x v="0"/>
    <x v="0"/>
  </r>
  <r>
    <s v="KS"/>
    <x v="93"/>
    <s v="area_code_408"/>
    <x v="0"/>
    <x v="1"/>
    <n v="0"/>
    <n v="201.4"/>
    <n v="101"/>
    <n v="34.24"/>
    <n v="97.6"/>
    <n v="122"/>
    <n v="8.3000000000000007"/>
    <n v="202.5"/>
    <n v="119"/>
    <n v="9.11"/>
    <x v="99"/>
    <x v="0"/>
    <x v="99"/>
    <x v="1"/>
    <x v="0"/>
  </r>
  <r>
    <s v="WV"/>
    <x v="112"/>
    <s v="area_code_415"/>
    <x v="0"/>
    <x v="0"/>
    <n v="38"/>
    <n v="123"/>
    <n v="158"/>
    <n v="20.91"/>
    <n v="133.9"/>
    <n v="119"/>
    <n v="11.38"/>
    <n v="138.19999999999999"/>
    <n v="103"/>
    <n v="6.22"/>
    <x v="64"/>
    <x v="4"/>
    <x v="64"/>
    <x v="0"/>
    <x v="0"/>
  </r>
  <r>
    <s v="NM"/>
    <x v="42"/>
    <s v="area_code_415"/>
    <x v="0"/>
    <x v="1"/>
    <n v="0"/>
    <n v="239.2"/>
    <n v="72"/>
    <n v="40.659999999999997"/>
    <n v="188.5"/>
    <n v="124"/>
    <n v="16.02"/>
    <n v="105.6"/>
    <n v="116"/>
    <n v="4.75"/>
    <x v="82"/>
    <x v="0"/>
    <x v="82"/>
    <x v="0"/>
    <x v="0"/>
  </r>
  <r>
    <s v="OH"/>
    <x v="146"/>
    <s v="area_code_510"/>
    <x v="0"/>
    <x v="1"/>
    <n v="0"/>
    <n v="193"/>
    <n v="97"/>
    <n v="32.81"/>
    <n v="89.8"/>
    <n v="99"/>
    <n v="7.63"/>
    <n v="172.8"/>
    <n v="104"/>
    <n v="7.78"/>
    <x v="107"/>
    <x v="0"/>
    <x v="107"/>
    <x v="0"/>
    <x v="0"/>
  </r>
  <r>
    <s v="RI"/>
    <x v="151"/>
    <s v="area_code_415"/>
    <x v="0"/>
    <x v="0"/>
    <n v="26"/>
    <n v="116.7"/>
    <n v="71"/>
    <n v="19.84"/>
    <n v="145.9"/>
    <n v="88"/>
    <n v="12.4"/>
    <n v="175.1"/>
    <n v="103"/>
    <n v="7.88"/>
    <x v="79"/>
    <x v="0"/>
    <x v="79"/>
    <x v="0"/>
    <x v="0"/>
  </r>
  <r>
    <s v="HI"/>
    <x v="116"/>
    <s v="area_code_510"/>
    <x v="0"/>
    <x v="1"/>
    <n v="0"/>
    <n v="93.8"/>
    <n v="127"/>
    <n v="15.95"/>
    <n v="150"/>
    <n v="104"/>
    <n v="12.75"/>
    <n v="241.1"/>
    <n v="116"/>
    <n v="10.85"/>
    <x v="85"/>
    <x v="5"/>
    <x v="85"/>
    <x v="0"/>
    <x v="0"/>
  </r>
  <r>
    <s v="NY"/>
    <x v="90"/>
    <s v="area_code_415"/>
    <x v="0"/>
    <x v="0"/>
    <n v="29"/>
    <n v="239.5"/>
    <n v="82"/>
    <n v="40.72"/>
    <n v="203.8"/>
    <n v="105"/>
    <n v="17.32"/>
    <n v="167.8"/>
    <n v="70"/>
    <n v="7.55"/>
    <x v="79"/>
    <x v="3"/>
    <x v="79"/>
    <x v="1"/>
    <x v="0"/>
  </r>
  <r>
    <s v="KS"/>
    <x v="6"/>
    <s v="area_code_510"/>
    <x v="0"/>
    <x v="0"/>
    <n v="25"/>
    <n v="216"/>
    <n v="140"/>
    <n v="36.72"/>
    <n v="224.1"/>
    <n v="69"/>
    <n v="19.05"/>
    <n v="267.89999999999998"/>
    <n v="112"/>
    <n v="12.06"/>
    <x v="23"/>
    <x v="4"/>
    <x v="23"/>
    <x v="1"/>
    <x v="0"/>
  </r>
  <r>
    <s v="LA"/>
    <x v="98"/>
    <s v="area_code_408"/>
    <x v="0"/>
    <x v="1"/>
    <n v="0"/>
    <n v="187.4"/>
    <n v="97"/>
    <n v="31.86"/>
    <n v="177.8"/>
    <n v="89"/>
    <n v="15.11"/>
    <n v="233.4"/>
    <n v="97"/>
    <n v="10.5"/>
    <x v="1"/>
    <x v="3"/>
    <x v="1"/>
    <x v="0"/>
    <x v="0"/>
  </r>
  <r>
    <s v="NV"/>
    <x v="110"/>
    <s v="area_code_510"/>
    <x v="0"/>
    <x v="1"/>
    <n v="0"/>
    <n v="160.4"/>
    <n v="108"/>
    <n v="27.27"/>
    <n v="218.1"/>
    <n v="88"/>
    <n v="18.54"/>
    <n v="192.9"/>
    <n v="115"/>
    <n v="8.68"/>
    <x v="60"/>
    <x v="4"/>
    <x v="60"/>
    <x v="0"/>
    <x v="0"/>
  </r>
  <r>
    <s v="PA"/>
    <x v="169"/>
    <s v="area_code_408"/>
    <x v="0"/>
    <x v="1"/>
    <n v="0"/>
    <n v="205.3"/>
    <n v="122"/>
    <n v="34.9"/>
    <n v="240.5"/>
    <n v="155"/>
    <n v="20.440000000000001"/>
    <n v="179.1"/>
    <n v="107"/>
    <n v="8.06"/>
    <x v="105"/>
    <x v="6"/>
    <x v="105"/>
    <x v="0"/>
    <x v="0"/>
  </r>
  <r>
    <s v="MO"/>
    <x v="180"/>
    <s v="area_code_408"/>
    <x v="0"/>
    <x v="0"/>
    <n v="25"/>
    <n v="219.1"/>
    <n v="88"/>
    <n v="37.25"/>
    <n v="151.5"/>
    <n v="99"/>
    <n v="12.88"/>
    <n v="50.1"/>
    <n v="60"/>
    <n v="2.25"/>
    <x v="108"/>
    <x v="3"/>
    <x v="108"/>
    <x v="0"/>
    <x v="0"/>
  </r>
  <r>
    <s v="ME"/>
    <x v="181"/>
    <s v="area_code_415"/>
    <x v="0"/>
    <x v="1"/>
    <n v="0"/>
    <n v="232.8"/>
    <n v="106"/>
    <n v="39.58"/>
    <n v="175.2"/>
    <n v="97"/>
    <n v="14.89"/>
    <n v="212.2"/>
    <n v="77"/>
    <n v="9.5500000000000007"/>
    <x v="60"/>
    <x v="2"/>
    <x v="60"/>
    <x v="2"/>
    <x v="0"/>
  </r>
  <r>
    <s v="NH"/>
    <x v="77"/>
    <s v="area_code_408"/>
    <x v="0"/>
    <x v="1"/>
    <n v="0"/>
    <n v="162"/>
    <n v="81"/>
    <n v="27.54"/>
    <n v="247.5"/>
    <n v="89"/>
    <n v="21.04"/>
    <n v="155.5"/>
    <n v="99"/>
    <n v="7"/>
    <x v="56"/>
    <x v="10"/>
    <x v="56"/>
    <x v="1"/>
    <x v="0"/>
  </r>
  <r>
    <s v="WY"/>
    <x v="101"/>
    <s v="area_code_415"/>
    <x v="0"/>
    <x v="0"/>
    <n v="27"/>
    <n v="25.9"/>
    <n v="119"/>
    <n v="4.4000000000000004"/>
    <n v="206.5"/>
    <n v="96"/>
    <n v="17.55"/>
    <n v="228.1"/>
    <n v="64"/>
    <n v="10.26"/>
    <x v="94"/>
    <x v="2"/>
    <x v="94"/>
    <x v="0"/>
    <x v="0"/>
  </r>
  <r>
    <s v="ME"/>
    <x v="62"/>
    <s v="area_code_408"/>
    <x v="0"/>
    <x v="1"/>
    <n v="0"/>
    <n v="322.3"/>
    <n v="113"/>
    <n v="54.79"/>
    <n v="222"/>
    <n v="95"/>
    <n v="18.87"/>
    <n v="162.80000000000001"/>
    <n v="123"/>
    <n v="7.33"/>
    <x v="92"/>
    <x v="10"/>
    <x v="92"/>
    <x v="1"/>
    <x v="1"/>
  </r>
  <r>
    <s v="MN"/>
    <x v="124"/>
    <s v="area_code_408"/>
    <x v="0"/>
    <x v="1"/>
    <n v="0"/>
    <n v="209.9"/>
    <n v="112"/>
    <n v="35.68"/>
    <n v="221.3"/>
    <n v="82"/>
    <n v="18.809999999999999"/>
    <n v="210"/>
    <n v="93"/>
    <n v="9.4499999999999993"/>
    <x v="45"/>
    <x v="0"/>
    <x v="45"/>
    <x v="0"/>
    <x v="0"/>
  </r>
  <r>
    <s v="OH"/>
    <x v="113"/>
    <s v="area_code_415"/>
    <x v="0"/>
    <x v="1"/>
    <n v="0"/>
    <n v="191.5"/>
    <n v="88"/>
    <n v="32.56"/>
    <n v="175.2"/>
    <n v="78"/>
    <n v="14.89"/>
    <n v="220.3"/>
    <n v="118"/>
    <n v="9.91"/>
    <x v="77"/>
    <x v="13"/>
    <x v="77"/>
    <x v="1"/>
    <x v="0"/>
  </r>
  <r>
    <s v="NC"/>
    <x v="32"/>
    <s v="area_code_408"/>
    <x v="0"/>
    <x v="0"/>
    <n v="19"/>
    <n v="291.10000000000002"/>
    <n v="150"/>
    <n v="49.49"/>
    <n v="226.7"/>
    <n v="123"/>
    <n v="19.27"/>
    <n v="219.1"/>
    <n v="67"/>
    <n v="9.86"/>
    <x v="4"/>
    <x v="5"/>
    <x v="4"/>
    <x v="0"/>
    <x v="0"/>
  </r>
  <r>
    <s v="SD"/>
    <x v="105"/>
    <s v="area_code_415"/>
    <x v="0"/>
    <x v="1"/>
    <n v="0"/>
    <n v="215.6"/>
    <n v="115"/>
    <n v="36.65"/>
    <n v="216.2"/>
    <n v="85"/>
    <n v="18.38"/>
    <n v="171.3"/>
    <n v="65"/>
    <n v="7.71"/>
    <x v="23"/>
    <x v="8"/>
    <x v="23"/>
    <x v="3"/>
    <x v="0"/>
  </r>
  <r>
    <s v="UT"/>
    <x v="55"/>
    <s v="area_code_510"/>
    <x v="1"/>
    <x v="1"/>
    <n v="0"/>
    <n v="208.8"/>
    <n v="101"/>
    <n v="35.5"/>
    <n v="213.7"/>
    <n v="87"/>
    <n v="18.16"/>
    <n v="175.1"/>
    <n v="86"/>
    <n v="7.88"/>
    <x v="70"/>
    <x v="3"/>
    <x v="70"/>
    <x v="3"/>
    <x v="0"/>
  </r>
  <r>
    <s v="KY"/>
    <x v="18"/>
    <s v="area_code_415"/>
    <x v="0"/>
    <x v="1"/>
    <n v="0"/>
    <n v="255.9"/>
    <n v="97"/>
    <n v="43.5"/>
    <n v="204.1"/>
    <n v="129"/>
    <n v="17.350000000000001"/>
    <n v="171.3"/>
    <n v="84"/>
    <n v="7.71"/>
    <x v="10"/>
    <x v="1"/>
    <x v="10"/>
    <x v="3"/>
    <x v="0"/>
  </r>
  <r>
    <s v="MT"/>
    <x v="37"/>
    <s v="area_code_408"/>
    <x v="0"/>
    <x v="1"/>
    <n v="0"/>
    <n v="252.7"/>
    <n v="97"/>
    <n v="42.96"/>
    <n v="221.1"/>
    <n v="121"/>
    <n v="18.79"/>
    <n v="109.9"/>
    <n v="100"/>
    <n v="4.95"/>
    <x v="70"/>
    <x v="4"/>
    <x v="70"/>
    <x v="2"/>
    <x v="0"/>
  </r>
  <r>
    <s v="NJ"/>
    <x v="48"/>
    <s v="area_code_408"/>
    <x v="0"/>
    <x v="1"/>
    <n v="0"/>
    <n v="132.1"/>
    <n v="72"/>
    <n v="22.46"/>
    <n v="247.5"/>
    <n v="107"/>
    <n v="21.04"/>
    <n v="246.2"/>
    <n v="123"/>
    <n v="11.08"/>
    <x v="72"/>
    <x v="3"/>
    <x v="72"/>
    <x v="3"/>
    <x v="0"/>
  </r>
  <r>
    <s v="FL"/>
    <x v="143"/>
    <s v="area_code_408"/>
    <x v="0"/>
    <x v="1"/>
    <n v="0"/>
    <n v="217"/>
    <n v="115"/>
    <n v="36.89"/>
    <n v="207"/>
    <n v="142"/>
    <n v="17.600000000000001"/>
    <n v="268"/>
    <n v="106"/>
    <n v="12.06"/>
    <x v="45"/>
    <x v="4"/>
    <x v="45"/>
    <x v="0"/>
    <x v="0"/>
  </r>
  <r>
    <s v="IN"/>
    <x v="102"/>
    <s v="area_code_510"/>
    <x v="0"/>
    <x v="0"/>
    <n v="42"/>
    <n v="101.9"/>
    <n v="79"/>
    <n v="17.32"/>
    <n v="223.1"/>
    <n v="97"/>
    <n v="18.96"/>
    <n v="241.6"/>
    <n v="77"/>
    <n v="10.87"/>
    <x v="89"/>
    <x v="5"/>
    <x v="89"/>
    <x v="1"/>
    <x v="0"/>
  </r>
  <r>
    <s v="DE"/>
    <x v="13"/>
    <s v="area_code_510"/>
    <x v="0"/>
    <x v="1"/>
    <n v="0"/>
    <n v="211.5"/>
    <n v="100"/>
    <n v="35.96"/>
    <n v="184.6"/>
    <n v="88"/>
    <n v="15.69"/>
    <n v="164.3"/>
    <n v="131"/>
    <n v="7.39"/>
    <x v="64"/>
    <x v="4"/>
    <x v="64"/>
    <x v="2"/>
    <x v="0"/>
  </r>
  <r>
    <s v="ME"/>
    <x v="33"/>
    <s v="area_code_510"/>
    <x v="0"/>
    <x v="1"/>
    <n v="0"/>
    <n v="166.3"/>
    <n v="95"/>
    <n v="28.27"/>
    <n v="239.3"/>
    <n v="87"/>
    <n v="20.34"/>
    <n v="123.2"/>
    <n v="108"/>
    <n v="5.54"/>
    <x v="13"/>
    <x v="0"/>
    <x v="13"/>
    <x v="2"/>
    <x v="0"/>
  </r>
  <r>
    <s v="SD"/>
    <x v="88"/>
    <s v="area_code_408"/>
    <x v="0"/>
    <x v="1"/>
    <n v="0"/>
    <n v="185.2"/>
    <n v="87"/>
    <n v="31.48"/>
    <n v="170.4"/>
    <n v="96"/>
    <n v="14.48"/>
    <n v="165.1"/>
    <n v="104"/>
    <n v="7.43"/>
    <x v="17"/>
    <x v="15"/>
    <x v="17"/>
    <x v="0"/>
    <x v="0"/>
  </r>
  <r>
    <s v="AK"/>
    <x v="85"/>
    <s v="area_code_415"/>
    <x v="0"/>
    <x v="1"/>
    <n v="0"/>
    <n v="245.2"/>
    <n v="105"/>
    <n v="41.68"/>
    <n v="159"/>
    <n v="109"/>
    <n v="13.52"/>
    <n v="229.9"/>
    <n v="74"/>
    <n v="10.35"/>
    <x v="68"/>
    <x v="10"/>
    <x v="68"/>
    <x v="1"/>
    <x v="0"/>
  </r>
  <r>
    <s v="ID"/>
    <x v="96"/>
    <s v="area_code_510"/>
    <x v="0"/>
    <x v="1"/>
    <n v="0"/>
    <n v="274.39999999999998"/>
    <n v="120"/>
    <n v="46.65"/>
    <n v="198.6"/>
    <n v="82"/>
    <n v="16.88"/>
    <n v="160.80000000000001"/>
    <n v="62"/>
    <n v="7.24"/>
    <x v="120"/>
    <x v="0"/>
    <x v="120"/>
    <x v="0"/>
    <x v="0"/>
  </r>
  <r>
    <s v="RI"/>
    <x v="67"/>
    <s v="area_code_415"/>
    <x v="0"/>
    <x v="1"/>
    <n v="0"/>
    <n v="98.4"/>
    <n v="78"/>
    <n v="16.73"/>
    <n v="249.6"/>
    <n v="129"/>
    <n v="21.22"/>
    <n v="248.2"/>
    <n v="114"/>
    <n v="11.17"/>
    <x v="66"/>
    <x v="4"/>
    <x v="66"/>
    <x v="0"/>
    <x v="0"/>
  </r>
  <r>
    <s v="KY"/>
    <x v="20"/>
    <s v="area_code_415"/>
    <x v="0"/>
    <x v="0"/>
    <n v="29"/>
    <n v="279.89999999999998"/>
    <n v="121"/>
    <n v="47.58"/>
    <n v="223.1"/>
    <n v="109"/>
    <n v="18.96"/>
    <n v="251.7"/>
    <n v="94"/>
    <n v="11.33"/>
    <x v="14"/>
    <x v="5"/>
    <x v="14"/>
    <x v="0"/>
    <x v="0"/>
  </r>
  <r>
    <s v="ND"/>
    <x v="28"/>
    <s v="area_code_510"/>
    <x v="0"/>
    <x v="1"/>
    <n v="0"/>
    <n v="187.2"/>
    <n v="127"/>
    <n v="31.82"/>
    <n v="195.6"/>
    <n v="88"/>
    <n v="16.63"/>
    <n v="181.8"/>
    <n v="129"/>
    <n v="8.18"/>
    <x v="118"/>
    <x v="4"/>
    <x v="118"/>
    <x v="0"/>
    <x v="0"/>
  </r>
  <r>
    <s v="HI"/>
    <x v="68"/>
    <s v="area_code_415"/>
    <x v="0"/>
    <x v="1"/>
    <n v="0"/>
    <n v="276.2"/>
    <n v="95"/>
    <n v="46.95"/>
    <n v="165.8"/>
    <n v="119"/>
    <n v="14.09"/>
    <n v="151.6"/>
    <n v="79"/>
    <n v="6.82"/>
    <x v="138"/>
    <x v="4"/>
    <x v="138"/>
    <x v="3"/>
    <x v="0"/>
  </r>
  <r>
    <s v="WI"/>
    <x v="43"/>
    <s v="area_code_415"/>
    <x v="0"/>
    <x v="0"/>
    <n v="35"/>
    <n v="200.4"/>
    <n v="104"/>
    <n v="34.07"/>
    <n v="272.8"/>
    <n v="89"/>
    <n v="23.19"/>
    <n v="214.5"/>
    <n v="100"/>
    <n v="9.65"/>
    <x v="24"/>
    <x v="4"/>
    <x v="24"/>
    <x v="0"/>
    <x v="0"/>
  </r>
  <r>
    <s v="WV"/>
    <x v="150"/>
    <s v="area_code_510"/>
    <x v="0"/>
    <x v="1"/>
    <n v="0"/>
    <n v="162.30000000000001"/>
    <n v="96"/>
    <n v="27.59"/>
    <n v="244"/>
    <n v="122"/>
    <n v="20.74"/>
    <n v="180.1"/>
    <n v="89"/>
    <n v="8.1"/>
    <x v="9"/>
    <x v="4"/>
    <x v="9"/>
    <x v="2"/>
    <x v="0"/>
  </r>
  <r>
    <s v="NJ"/>
    <x v="18"/>
    <s v="area_code_510"/>
    <x v="0"/>
    <x v="1"/>
    <n v="0"/>
    <n v="176.9"/>
    <n v="128"/>
    <n v="30.07"/>
    <n v="102.8"/>
    <n v="56"/>
    <n v="8.74"/>
    <n v="213.7"/>
    <n v="84"/>
    <n v="9.6199999999999992"/>
    <x v="26"/>
    <x v="5"/>
    <x v="26"/>
    <x v="4"/>
    <x v="1"/>
  </r>
  <r>
    <s v="KS"/>
    <x v="36"/>
    <s v="area_code_415"/>
    <x v="0"/>
    <x v="1"/>
    <n v="0"/>
    <n v="165.5"/>
    <n v="78"/>
    <n v="28.14"/>
    <n v="205.5"/>
    <n v="89"/>
    <n v="17.47"/>
    <n v="213.6"/>
    <n v="124"/>
    <n v="9.61"/>
    <x v="1"/>
    <x v="3"/>
    <x v="1"/>
    <x v="1"/>
    <x v="0"/>
  </r>
  <r>
    <s v="AL"/>
    <x v="145"/>
    <s v="area_code_415"/>
    <x v="0"/>
    <x v="1"/>
    <n v="0"/>
    <n v="217.8"/>
    <n v="93"/>
    <n v="37.03"/>
    <n v="189.7"/>
    <n v="113"/>
    <n v="16.12"/>
    <n v="182.6"/>
    <n v="91"/>
    <n v="8.2200000000000006"/>
    <x v="91"/>
    <x v="1"/>
    <x v="91"/>
    <x v="4"/>
    <x v="0"/>
  </r>
  <r>
    <s v="NJ"/>
    <x v="29"/>
    <s v="area_code_510"/>
    <x v="0"/>
    <x v="0"/>
    <n v="28"/>
    <n v="201.4"/>
    <n v="100"/>
    <n v="34.24"/>
    <n v="246.5"/>
    <n v="117"/>
    <n v="20.95"/>
    <n v="154.80000000000001"/>
    <n v="131"/>
    <n v="6.97"/>
    <x v="89"/>
    <x v="4"/>
    <x v="89"/>
    <x v="2"/>
    <x v="1"/>
  </r>
  <r>
    <s v="NC"/>
    <x v="112"/>
    <s v="area_code_510"/>
    <x v="0"/>
    <x v="1"/>
    <n v="0"/>
    <n v="190.5"/>
    <n v="115"/>
    <n v="32.39"/>
    <n v="179.6"/>
    <n v="130"/>
    <n v="15.27"/>
    <n v="258.5"/>
    <n v="89"/>
    <n v="11.63"/>
    <x v="3"/>
    <x v="1"/>
    <x v="3"/>
    <x v="3"/>
    <x v="0"/>
  </r>
  <r>
    <s v="DE"/>
    <x v="28"/>
    <s v="area_code_415"/>
    <x v="0"/>
    <x v="0"/>
    <n v="29"/>
    <n v="179.9"/>
    <n v="97"/>
    <n v="30.58"/>
    <n v="189.2"/>
    <n v="89"/>
    <n v="16.079999999999998"/>
    <n v="164.3"/>
    <n v="76"/>
    <n v="7.39"/>
    <x v="75"/>
    <x v="2"/>
    <x v="75"/>
    <x v="3"/>
    <x v="0"/>
  </r>
  <r>
    <s v="WY"/>
    <x v="81"/>
    <s v="area_code_510"/>
    <x v="0"/>
    <x v="1"/>
    <n v="0"/>
    <n v="235.9"/>
    <n v="104"/>
    <n v="40.1"/>
    <n v="80.599999999999994"/>
    <n v="91"/>
    <n v="6.85"/>
    <n v="212.8"/>
    <n v="116"/>
    <n v="9.58"/>
    <x v="41"/>
    <x v="5"/>
    <x v="41"/>
    <x v="3"/>
    <x v="0"/>
  </r>
  <r>
    <s v="ID"/>
    <x v="98"/>
    <s v="area_code_415"/>
    <x v="0"/>
    <x v="1"/>
    <n v="0"/>
    <n v="140.4"/>
    <n v="112"/>
    <n v="23.87"/>
    <n v="187.1"/>
    <n v="60"/>
    <n v="15.9"/>
    <n v="207.9"/>
    <n v="155"/>
    <n v="9.36"/>
    <x v="57"/>
    <x v="8"/>
    <x v="57"/>
    <x v="1"/>
    <x v="0"/>
  </r>
  <r>
    <s v="NY"/>
    <x v="6"/>
    <s v="area_code_415"/>
    <x v="0"/>
    <x v="1"/>
    <n v="0"/>
    <n v="144.6"/>
    <n v="115"/>
    <n v="24.58"/>
    <n v="258.8"/>
    <n v="66"/>
    <n v="22"/>
    <n v="253.2"/>
    <n v="113"/>
    <n v="11.39"/>
    <x v="33"/>
    <x v="6"/>
    <x v="33"/>
    <x v="2"/>
    <x v="0"/>
  </r>
  <r>
    <s v="MO"/>
    <x v="132"/>
    <s v="area_code_510"/>
    <x v="0"/>
    <x v="1"/>
    <n v="0"/>
    <n v="189"/>
    <n v="100"/>
    <n v="32.130000000000003"/>
    <n v="118.5"/>
    <n v="99"/>
    <n v="10.07"/>
    <n v="248.1"/>
    <n v="87"/>
    <n v="11.16"/>
    <x v="139"/>
    <x v="3"/>
    <x v="139"/>
    <x v="1"/>
    <x v="0"/>
  </r>
  <r>
    <s v="ID"/>
    <x v="55"/>
    <s v="area_code_408"/>
    <x v="0"/>
    <x v="1"/>
    <n v="0"/>
    <n v="101"/>
    <n v="93"/>
    <n v="17.170000000000002"/>
    <n v="155.6"/>
    <n v="104"/>
    <n v="13.23"/>
    <n v="304.39999999999998"/>
    <n v="93"/>
    <n v="13.7"/>
    <x v="64"/>
    <x v="5"/>
    <x v="64"/>
    <x v="1"/>
    <x v="0"/>
  </r>
  <r>
    <s v="IA"/>
    <x v="153"/>
    <s v="area_code_415"/>
    <x v="0"/>
    <x v="1"/>
    <n v="0"/>
    <n v="206.3"/>
    <n v="98"/>
    <n v="35.07"/>
    <n v="292.8"/>
    <n v="82"/>
    <n v="24.89"/>
    <n v="43.7"/>
    <n v="121"/>
    <n v="1.97"/>
    <x v="15"/>
    <x v="4"/>
    <x v="15"/>
    <x v="0"/>
    <x v="0"/>
  </r>
  <r>
    <s v="TN"/>
    <x v="65"/>
    <s v="area_code_408"/>
    <x v="0"/>
    <x v="0"/>
    <n v="15"/>
    <n v="165.1"/>
    <n v="85"/>
    <n v="28.07"/>
    <n v="267"/>
    <n v="93"/>
    <n v="22.7"/>
    <n v="250.7"/>
    <n v="114"/>
    <n v="11.28"/>
    <x v="54"/>
    <x v="4"/>
    <x v="54"/>
    <x v="0"/>
    <x v="0"/>
  </r>
  <r>
    <s v="OH"/>
    <x v="28"/>
    <s v="area_code_408"/>
    <x v="0"/>
    <x v="1"/>
    <n v="0"/>
    <n v="165"/>
    <n v="129"/>
    <n v="28.05"/>
    <n v="202.6"/>
    <n v="113"/>
    <n v="17.22"/>
    <n v="172.3"/>
    <n v="94"/>
    <n v="7.75"/>
    <x v="60"/>
    <x v="2"/>
    <x v="60"/>
    <x v="0"/>
    <x v="1"/>
  </r>
  <r>
    <s v="IL"/>
    <x v="17"/>
    <s v="area_code_415"/>
    <x v="0"/>
    <x v="1"/>
    <n v="0"/>
    <n v="155.9"/>
    <n v="95"/>
    <n v="26.5"/>
    <n v="256.10000000000002"/>
    <n v="97"/>
    <n v="21.77"/>
    <n v="262.89999999999998"/>
    <n v="103"/>
    <n v="11.83"/>
    <x v="50"/>
    <x v="0"/>
    <x v="50"/>
    <x v="3"/>
    <x v="0"/>
  </r>
  <r>
    <s v="FL"/>
    <x v="27"/>
    <s v="area_code_408"/>
    <x v="1"/>
    <x v="1"/>
    <n v="0"/>
    <n v="199.2"/>
    <n v="122"/>
    <n v="33.86"/>
    <n v="214.7"/>
    <n v="114"/>
    <n v="18.25"/>
    <n v="150.9"/>
    <n v="105"/>
    <n v="6.79"/>
    <x v="23"/>
    <x v="2"/>
    <x v="23"/>
    <x v="0"/>
    <x v="0"/>
  </r>
  <r>
    <s v="MA"/>
    <x v="152"/>
    <s v="area_code_415"/>
    <x v="0"/>
    <x v="1"/>
    <n v="0"/>
    <n v="155.30000000000001"/>
    <n v="116"/>
    <n v="26.4"/>
    <n v="188.2"/>
    <n v="85"/>
    <n v="16"/>
    <n v="247"/>
    <n v="73"/>
    <n v="11.12"/>
    <x v="10"/>
    <x v="4"/>
    <x v="10"/>
    <x v="3"/>
    <x v="0"/>
  </r>
  <r>
    <s v="OK"/>
    <x v="164"/>
    <s v="area_code_415"/>
    <x v="0"/>
    <x v="1"/>
    <n v="0"/>
    <n v="208.3"/>
    <n v="106"/>
    <n v="35.409999999999997"/>
    <n v="236.7"/>
    <n v="123"/>
    <n v="20.12"/>
    <n v="179.1"/>
    <n v="120"/>
    <n v="8.06"/>
    <x v="61"/>
    <x v="1"/>
    <x v="61"/>
    <x v="3"/>
    <x v="0"/>
  </r>
  <r>
    <s v="KY"/>
    <x v="0"/>
    <s v="area_code_415"/>
    <x v="0"/>
    <x v="1"/>
    <n v="0"/>
    <n v="157.1"/>
    <n v="79"/>
    <n v="26.71"/>
    <n v="162.6"/>
    <n v="124"/>
    <n v="13.82"/>
    <n v="150"/>
    <n v="138"/>
    <n v="6.75"/>
    <x v="47"/>
    <x v="3"/>
    <x v="47"/>
    <x v="0"/>
    <x v="0"/>
  </r>
  <r>
    <s v="MI"/>
    <x v="75"/>
    <s v="area_code_415"/>
    <x v="0"/>
    <x v="1"/>
    <n v="0"/>
    <n v="154.4"/>
    <n v="165"/>
    <n v="26.25"/>
    <n v="168.3"/>
    <n v="121"/>
    <n v="14.31"/>
    <n v="239.9"/>
    <n v="81"/>
    <n v="10.8"/>
    <x v="50"/>
    <x v="4"/>
    <x v="50"/>
    <x v="5"/>
    <x v="1"/>
  </r>
  <r>
    <s v="NE"/>
    <x v="135"/>
    <s v="area_code_415"/>
    <x v="0"/>
    <x v="1"/>
    <n v="0"/>
    <n v="189.1"/>
    <n v="105"/>
    <n v="32.15"/>
    <n v="246.1"/>
    <n v="147"/>
    <n v="20.92"/>
    <n v="242"/>
    <n v="106"/>
    <n v="10.89"/>
    <x v="91"/>
    <x v="1"/>
    <x v="91"/>
    <x v="0"/>
    <x v="1"/>
  </r>
  <r>
    <s v="VA"/>
    <x v="182"/>
    <s v="area_code_408"/>
    <x v="0"/>
    <x v="0"/>
    <n v="24"/>
    <n v="131.5"/>
    <n v="98"/>
    <n v="22.36"/>
    <n v="230.2"/>
    <n v="111"/>
    <n v="19.57"/>
    <n v="283.7"/>
    <n v="87"/>
    <n v="12.77"/>
    <x v="13"/>
    <x v="0"/>
    <x v="13"/>
    <x v="2"/>
    <x v="0"/>
  </r>
  <r>
    <s v="NY"/>
    <x v="120"/>
    <s v="area_code_415"/>
    <x v="0"/>
    <x v="1"/>
    <n v="0"/>
    <n v="166.4"/>
    <n v="85"/>
    <n v="28.29"/>
    <n v="243.2"/>
    <n v="135"/>
    <n v="20.67"/>
    <n v="229.2"/>
    <n v="95"/>
    <n v="10.31"/>
    <x v="79"/>
    <x v="1"/>
    <x v="79"/>
    <x v="0"/>
    <x v="0"/>
  </r>
  <r>
    <s v="VT"/>
    <x v="63"/>
    <s v="area_code_408"/>
    <x v="0"/>
    <x v="0"/>
    <n v="19"/>
    <n v="87.7"/>
    <n v="103"/>
    <n v="14.91"/>
    <n v="223"/>
    <n v="86"/>
    <n v="18.96"/>
    <n v="182.3"/>
    <n v="112"/>
    <n v="8.1999999999999993"/>
    <x v="48"/>
    <x v="4"/>
    <x v="48"/>
    <x v="2"/>
    <x v="0"/>
  </r>
  <r>
    <s v="KS"/>
    <x v="135"/>
    <s v="area_code_415"/>
    <x v="0"/>
    <x v="0"/>
    <n v="19"/>
    <n v="184.1"/>
    <n v="78"/>
    <n v="31.3"/>
    <n v="194.5"/>
    <n v="71"/>
    <n v="16.53"/>
    <n v="225.6"/>
    <n v="101"/>
    <n v="10.15"/>
    <x v="132"/>
    <x v="0"/>
    <x v="132"/>
    <x v="1"/>
    <x v="0"/>
  </r>
  <r>
    <s v="AL"/>
    <x v="144"/>
    <s v="area_code_415"/>
    <x v="0"/>
    <x v="1"/>
    <n v="0"/>
    <n v="103.3"/>
    <n v="103"/>
    <n v="17.559999999999999"/>
    <n v="138.5"/>
    <n v="79"/>
    <n v="11.77"/>
    <n v="164.8"/>
    <n v="98"/>
    <n v="7.42"/>
    <x v="62"/>
    <x v="5"/>
    <x v="62"/>
    <x v="2"/>
    <x v="0"/>
  </r>
  <r>
    <s v="PA"/>
    <x v="66"/>
    <s v="area_code_415"/>
    <x v="0"/>
    <x v="1"/>
    <n v="0"/>
    <n v="35.1"/>
    <n v="62"/>
    <n v="5.97"/>
    <n v="180.8"/>
    <n v="89"/>
    <n v="15.37"/>
    <n v="251.6"/>
    <n v="58"/>
    <n v="11.32"/>
    <x v="8"/>
    <x v="5"/>
    <x v="8"/>
    <x v="0"/>
    <x v="0"/>
  </r>
  <r>
    <s v="WV"/>
    <x v="82"/>
    <s v="area_code_415"/>
    <x v="0"/>
    <x v="0"/>
    <n v="37"/>
    <n v="78.5"/>
    <n v="109"/>
    <n v="13.35"/>
    <n v="210.5"/>
    <n v="101"/>
    <n v="17.89"/>
    <n v="179.7"/>
    <n v="102"/>
    <n v="8.09"/>
    <x v="23"/>
    <x v="4"/>
    <x v="23"/>
    <x v="0"/>
    <x v="0"/>
  </r>
  <r>
    <s v="NV"/>
    <x v="32"/>
    <s v="area_code_408"/>
    <x v="0"/>
    <x v="1"/>
    <n v="0"/>
    <n v="148.1"/>
    <n v="73"/>
    <n v="25.18"/>
    <n v="164.9"/>
    <n v="101"/>
    <n v="14.02"/>
    <n v="216"/>
    <n v="125"/>
    <n v="9.7200000000000006"/>
    <x v="10"/>
    <x v="5"/>
    <x v="10"/>
    <x v="5"/>
    <x v="1"/>
  </r>
  <r>
    <s v="ID"/>
    <x v="56"/>
    <s v="area_code_415"/>
    <x v="0"/>
    <x v="0"/>
    <n v="33"/>
    <n v="251.6"/>
    <n v="87"/>
    <n v="42.77"/>
    <n v="197.6"/>
    <n v="118"/>
    <n v="16.8"/>
    <n v="209.2"/>
    <n v="97"/>
    <n v="9.41"/>
    <x v="1"/>
    <x v="0"/>
    <x v="1"/>
    <x v="2"/>
    <x v="0"/>
  </r>
  <r>
    <s v="WY"/>
    <x v="96"/>
    <s v="area_code_415"/>
    <x v="1"/>
    <x v="0"/>
    <n v="26"/>
    <n v="270.3"/>
    <n v="111"/>
    <n v="45.95"/>
    <n v="215.2"/>
    <n v="90"/>
    <n v="18.29"/>
    <n v="254"/>
    <n v="133"/>
    <n v="11.43"/>
    <x v="90"/>
    <x v="2"/>
    <x v="90"/>
    <x v="0"/>
    <x v="1"/>
  </r>
  <r>
    <s v="TX"/>
    <x v="94"/>
    <s v="area_code_510"/>
    <x v="0"/>
    <x v="0"/>
    <n v="34"/>
    <n v="156.6"/>
    <n v="97"/>
    <n v="26.62"/>
    <n v="224.2"/>
    <n v="97"/>
    <n v="19.059999999999999"/>
    <n v="260.89999999999998"/>
    <n v="135"/>
    <n v="11.74"/>
    <x v="61"/>
    <x v="8"/>
    <x v="61"/>
    <x v="0"/>
    <x v="0"/>
  </r>
  <r>
    <s v="MA"/>
    <x v="57"/>
    <s v="area_code_408"/>
    <x v="0"/>
    <x v="1"/>
    <n v="0"/>
    <n v="139.4"/>
    <n v="81"/>
    <n v="23.7"/>
    <n v="223.7"/>
    <n v="113"/>
    <n v="19.010000000000002"/>
    <n v="173.1"/>
    <n v="77"/>
    <n v="7.79"/>
    <x v="109"/>
    <x v="3"/>
    <x v="109"/>
    <x v="0"/>
    <x v="0"/>
  </r>
  <r>
    <s v="IL"/>
    <x v="76"/>
    <s v="area_code_510"/>
    <x v="0"/>
    <x v="1"/>
    <n v="0"/>
    <n v="220.2"/>
    <n v="108"/>
    <n v="37.43"/>
    <n v="188.4"/>
    <n v="124"/>
    <n v="16.010000000000002"/>
    <n v="172.7"/>
    <n v="113"/>
    <n v="7.77"/>
    <x v="50"/>
    <x v="0"/>
    <x v="50"/>
    <x v="2"/>
    <x v="0"/>
  </r>
  <r>
    <s v="LA"/>
    <x v="183"/>
    <s v="area_code_415"/>
    <x v="0"/>
    <x v="0"/>
    <n v="39"/>
    <n v="214.1"/>
    <n v="108"/>
    <n v="36.4"/>
    <n v="169.2"/>
    <n v="115"/>
    <n v="14.38"/>
    <n v="189.7"/>
    <n v="117"/>
    <n v="8.5399999999999991"/>
    <x v="3"/>
    <x v="0"/>
    <x v="3"/>
    <x v="0"/>
    <x v="0"/>
  </r>
  <r>
    <s v="CO"/>
    <x v="68"/>
    <s v="area_code_415"/>
    <x v="0"/>
    <x v="1"/>
    <n v="0"/>
    <n v="196"/>
    <n v="74"/>
    <n v="33.32"/>
    <n v="213.4"/>
    <n v="96"/>
    <n v="18.14"/>
    <n v="196.8"/>
    <n v="81"/>
    <n v="8.86"/>
    <x v="57"/>
    <x v="3"/>
    <x v="57"/>
    <x v="0"/>
    <x v="0"/>
  </r>
  <r>
    <s v="MI"/>
    <x v="102"/>
    <s v="area_code_415"/>
    <x v="0"/>
    <x v="0"/>
    <n v="29"/>
    <n v="179.4"/>
    <n v="113"/>
    <n v="30.5"/>
    <n v="275.39999999999998"/>
    <n v="100"/>
    <n v="23.41"/>
    <n v="246.1"/>
    <n v="105"/>
    <n v="11.07"/>
    <x v="13"/>
    <x v="1"/>
    <x v="13"/>
    <x v="1"/>
    <x v="0"/>
  </r>
  <r>
    <s v="NH"/>
    <x v="61"/>
    <s v="area_code_408"/>
    <x v="0"/>
    <x v="1"/>
    <n v="0"/>
    <n v="216.7"/>
    <n v="30"/>
    <n v="36.840000000000003"/>
    <n v="144.30000000000001"/>
    <n v="125"/>
    <n v="12.27"/>
    <n v="135.30000000000001"/>
    <n v="106"/>
    <n v="6.09"/>
    <x v="81"/>
    <x v="8"/>
    <x v="81"/>
    <x v="2"/>
    <x v="0"/>
  </r>
  <r>
    <s v="WA"/>
    <x v="12"/>
    <s v="area_code_415"/>
    <x v="0"/>
    <x v="1"/>
    <n v="0"/>
    <n v="151.6"/>
    <n v="117"/>
    <n v="25.77"/>
    <n v="219.4"/>
    <n v="87"/>
    <n v="18.649999999999999"/>
    <n v="224.7"/>
    <n v="68"/>
    <n v="10.11"/>
    <x v="131"/>
    <x v="1"/>
    <x v="131"/>
    <x v="0"/>
    <x v="0"/>
  </r>
  <r>
    <s v="MN"/>
    <x v="11"/>
    <s v="area_code_408"/>
    <x v="0"/>
    <x v="0"/>
    <n v="32"/>
    <n v="262.2"/>
    <n v="123"/>
    <n v="44.57"/>
    <n v="165.2"/>
    <n v="82"/>
    <n v="14.04"/>
    <n v="194.3"/>
    <n v="57"/>
    <n v="8.74"/>
    <x v="15"/>
    <x v="1"/>
    <x v="15"/>
    <x v="1"/>
    <x v="0"/>
  </r>
  <r>
    <s v="NY"/>
    <x v="66"/>
    <s v="area_code_415"/>
    <x v="0"/>
    <x v="1"/>
    <n v="0"/>
    <n v="173.6"/>
    <n v="110"/>
    <n v="29.51"/>
    <n v="91.7"/>
    <n v="84"/>
    <n v="7.79"/>
    <n v="211.7"/>
    <n v="103"/>
    <n v="9.5299999999999994"/>
    <x v="84"/>
    <x v="2"/>
    <x v="84"/>
    <x v="3"/>
    <x v="0"/>
  </r>
  <r>
    <s v="HI"/>
    <x v="115"/>
    <s v="area_code_408"/>
    <x v="0"/>
    <x v="0"/>
    <n v="24"/>
    <n v="217.2"/>
    <n v="94"/>
    <n v="36.92"/>
    <n v="138.69999999999999"/>
    <n v="52"/>
    <n v="11.79"/>
    <n v="139.30000000000001"/>
    <n v="85"/>
    <n v="6.27"/>
    <x v="61"/>
    <x v="4"/>
    <x v="61"/>
    <x v="1"/>
    <x v="0"/>
  </r>
  <r>
    <s v="CT"/>
    <x v="63"/>
    <s v="area_code_408"/>
    <x v="0"/>
    <x v="1"/>
    <n v="0"/>
    <n v="95.4"/>
    <n v="105"/>
    <n v="16.22"/>
    <n v="207.2"/>
    <n v="101"/>
    <n v="17.61"/>
    <n v="136"/>
    <n v="117"/>
    <n v="6.12"/>
    <x v="113"/>
    <x v="1"/>
    <x v="113"/>
    <x v="0"/>
    <x v="0"/>
  </r>
  <r>
    <s v="CO"/>
    <x v="14"/>
    <s v="area_code_408"/>
    <x v="0"/>
    <x v="0"/>
    <n v="26"/>
    <n v="214.6"/>
    <n v="110"/>
    <n v="36.479999999999997"/>
    <n v="205.2"/>
    <n v="87"/>
    <n v="17.440000000000001"/>
    <n v="134.6"/>
    <n v="140"/>
    <n v="6.06"/>
    <x v="111"/>
    <x v="5"/>
    <x v="111"/>
    <x v="0"/>
    <x v="0"/>
  </r>
  <r>
    <s v="KS"/>
    <x v="120"/>
    <s v="area_code_415"/>
    <x v="0"/>
    <x v="1"/>
    <n v="0"/>
    <n v="131.6"/>
    <n v="120"/>
    <n v="22.37"/>
    <n v="211.3"/>
    <n v="96"/>
    <n v="17.96"/>
    <n v="168.3"/>
    <n v="97"/>
    <n v="7.57"/>
    <x v="22"/>
    <x v="4"/>
    <x v="22"/>
    <x v="4"/>
    <x v="1"/>
  </r>
  <r>
    <s v="NJ"/>
    <x v="131"/>
    <s v="area_code_415"/>
    <x v="0"/>
    <x v="1"/>
    <n v="0"/>
    <n v="168.4"/>
    <n v="117"/>
    <n v="28.63"/>
    <n v="217.1"/>
    <n v="129"/>
    <n v="18.45"/>
    <n v="81.599999999999994"/>
    <n v="100"/>
    <n v="3.67"/>
    <x v="23"/>
    <x v="2"/>
    <x v="23"/>
    <x v="0"/>
    <x v="0"/>
  </r>
  <r>
    <s v="FL"/>
    <x v="43"/>
    <s v="area_code_408"/>
    <x v="0"/>
    <x v="1"/>
    <n v="0"/>
    <n v="146.4"/>
    <n v="123"/>
    <n v="24.89"/>
    <n v="176.6"/>
    <n v="113"/>
    <n v="15.01"/>
    <n v="212.6"/>
    <n v="102"/>
    <n v="9.57"/>
    <x v="35"/>
    <x v="1"/>
    <x v="35"/>
    <x v="0"/>
    <x v="0"/>
  </r>
  <r>
    <s v="CA"/>
    <x v="37"/>
    <s v="area_code_415"/>
    <x v="1"/>
    <x v="1"/>
    <n v="0"/>
    <n v="183"/>
    <n v="110"/>
    <n v="31.11"/>
    <n v="206.7"/>
    <n v="93"/>
    <n v="17.57"/>
    <n v="203.8"/>
    <n v="119"/>
    <n v="9.17"/>
    <x v="22"/>
    <x v="3"/>
    <x v="22"/>
    <x v="0"/>
    <x v="0"/>
  </r>
  <r>
    <s v="KS"/>
    <x v="59"/>
    <s v="area_code_415"/>
    <x v="0"/>
    <x v="1"/>
    <n v="0"/>
    <n v="103.3"/>
    <n v="122"/>
    <n v="17.559999999999999"/>
    <n v="245.9"/>
    <n v="123"/>
    <n v="20.9"/>
    <n v="161.1"/>
    <n v="95"/>
    <n v="7.25"/>
    <x v="69"/>
    <x v="2"/>
    <x v="69"/>
    <x v="1"/>
    <x v="0"/>
  </r>
  <r>
    <s v="TX"/>
    <x v="152"/>
    <s v="area_code_408"/>
    <x v="0"/>
    <x v="0"/>
    <n v="28"/>
    <n v="112.2"/>
    <n v="70"/>
    <n v="19.07"/>
    <n v="154.80000000000001"/>
    <n v="106"/>
    <n v="13.16"/>
    <n v="166.7"/>
    <n v="105"/>
    <n v="7.5"/>
    <x v="15"/>
    <x v="5"/>
    <x v="15"/>
    <x v="1"/>
    <x v="0"/>
  </r>
  <r>
    <s v="MN"/>
    <x v="46"/>
    <s v="area_code_510"/>
    <x v="1"/>
    <x v="1"/>
    <n v="0"/>
    <n v="170.7"/>
    <n v="55"/>
    <n v="29.02"/>
    <n v="179.1"/>
    <n v="108"/>
    <n v="15.22"/>
    <n v="281.89999999999998"/>
    <n v="89"/>
    <n v="12.69"/>
    <x v="45"/>
    <x v="6"/>
    <x v="45"/>
    <x v="3"/>
    <x v="0"/>
  </r>
  <r>
    <s v="AK"/>
    <x v="184"/>
    <s v="area_code_510"/>
    <x v="0"/>
    <x v="1"/>
    <n v="0"/>
    <n v="172.5"/>
    <n v="78"/>
    <n v="29.33"/>
    <n v="142.6"/>
    <n v="91"/>
    <n v="12.12"/>
    <n v="102"/>
    <n v="63"/>
    <n v="4.59"/>
    <x v="54"/>
    <x v="5"/>
    <x v="54"/>
    <x v="1"/>
    <x v="0"/>
  </r>
  <r>
    <s v="MS"/>
    <x v="103"/>
    <s v="area_code_408"/>
    <x v="0"/>
    <x v="0"/>
    <n v="32"/>
    <n v="187.8"/>
    <n v="117"/>
    <n v="31.93"/>
    <n v="129.80000000000001"/>
    <n v="90"/>
    <n v="11.03"/>
    <n v="132.30000000000001"/>
    <n v="113"/>
    <n v="5.95"/>
    <x v="42"/>
    <x v="0"/>
    <x v="42"/>
    <x v="2"/>
    <x v="0"/>
  </r>
  <r>
    <s v="VT"/>
    <x v="54"/>
    <s v="area_code_415"/>
    <x v="1"/>
    <x v="0"/>
    <n v="26"/>
    <n v="307.10000000000002"/>
    <n v="94"/>
    <n v="52.21"/>
    <n v="289.39999999999998"/>
    <n v="78"/>
    <n v="24.6"/>
    <n v="174.9"/>
    <n v="109"/>
    <n v="7.87"/>
    <x v="40"/>
    <x v="0"/>
    <x v="40"/>
    <x v="1"/>
    <x v="0"/>
  </r>
  <r>
    <s v="KS"/>
    <x v="17"/>
    <s v="area_code_510"/>
    <x v="0"/>
    <x v="1"/>
    <n v="0"/>
    <n v="154"/>
    <n v="95"/>
    <n v="26.18"/>
    <n v="205.9"/>
    <n v="106"/>
    <n v="17.5"/>
    <n v="233.7"/>
    <n v="75"/>
    <n v="10.52"/>
    <x v="89"/>
    <x v="8"/>
    <x v="89"/>
    <x v="0"/>
    <x v="0"/>
  </r>
  <r>
    <s v="DE"/>
    <x v="121"/>
    <s v="area_code_510"/>
    <x v="1"/>
    <x v="1"/>
    <n v="0"/>
    <n v="125.6"/>
    <n v="108"/>
    <n v="21.35"/>
    <n v="213"/>
    <n v="90"/>
    <n v="18.11"/>
    <n v="181.7"/>
    <n v="108"/>
    <n v="8.18"/>
    <x v="11"/>
    <x v="1"/>
    <x v="11"/>
    <x v="0"/>
    <x v="0"/>
  </r>
  <r>
    <s v="IN"/>
    <x v="65"/>
    <s v="area_code_415"/>
    <x v="0"/>
    <x v="1"/>
    <n v="0"/>
    <n v="199.3"/>
    <n v="104"/>
    <n v="33.880000000000003"/>
    <n v="224.2"/>
    <n v="92"/>
    <n v="19.059999999999999"/>
    <n v="140.1"/>
    <n v="57"/>
    <n v="6.3"/>
    <x v="126"/>
    <x v="5"/>
    <x v="126"/>
    <x v="1"/>
    <x v="0"/>
  </r>
  <r>
    <s v="TX"/>
    <x v="89"/>
    <s v="area_code_408"/>
    <x v="0"/>
    <x v="1"/>
    <n v="0"/>
    <n v="157.9"/>
    <n v="88"/>
    <n v="26.84"/>
    <n v="180.8"/>
    <n v="132"/>
    <n v="15.37"/>
    <n v="132.5"/>
    <n v="102"/>
    <n v="5.96"/>
    <x v="75"/>
    <x v="0"/>
    <x v="75"/>
    <x v="0"/>
    <x v="0"/>
  </r>
  <r>
    <s v="MA"/>
    <x v="123"/>
    <s v="area_code_415"/>
    <x v="0"/>
    <x v="1"/>
    <n v="0"/>
    <n v="203.4"/>
    <n v="81"/>
    <n v="34.58"/>
    <n v="167.7"/>
    <n v="110"/>
    <n v="14.25"/>
    <n v="132"/>
    <n v="124"/>
    <n v="5.94"/>
    <x v="29"/>
    <x v="1"/>
    <x v="29"/>
    <x v="2"/>
    <x v="0"/>
  </r>
  <r>
    <s v="CA"/>
    <x v="145"/>
    <s v="area_code_408"/>
    <x v="0"/>
    <x v="0"/>
    <n v="39"/>
    <n v="92.8"/>
    <n v="98"/>
    <n v="15.78"/>
    <n v="271.2"/>
    <n v="115"/>
    <n v="23.05"/>
    <n v="167.1"/>
    <n v="83"/>
    <n v="7.52"/>
    <x v="41"/>
    <x v="2"/>
    <x v="41"/>
    <x v="0"/>
    <x v="0"/>
  </r>
  <r>
    <s v="IA"/>
    <x v="169"/>
    <s v="area_code_415"/>
    <x v="0"/>
    <x v="0"/>
    <n v="32"/>
    <n v="216.8"/>
    <n v="78"/>
    <n v="36.86"/>
    <n v="102.2"/>
    <n v="111"/>
    <n v="8.69"/>
    <n v="174"/>
    <n v="83"/>
    <n v="7.83"/>
    <x v="53"/>
    <x v="5"/>
    <x v="53"/>
    <x v="1"/>
    <x v="0"/>
  </r>
  <r>
    <s v="NH"/>
    <x v="163"/>
    <s v="area_code_415"/>
    <x v="0"/>
    <x v="1"/>
    <n v="0"/>
    <n v="193.2"/>
    <n v="89"/>
    <n v="32.840000000000003"/>
    <n v="194.4"/>
    <n v="90"/>
    <n v="16.52"/>
    <n v="186.5"/>
    <n v="104"/>
    <n v="8.39"/>
    <x v="84"/>
    <x v="5"/>
    <x v="84"/>
    <x v="4"/>
    <x v="0"/>
  </r>
  <r>
    <s v="GA"/>
    <x v="53"/>
    <s v="area_code_415"/>
    <x v="0"/>
    <x v="1"/>
    <n v="0"/>
    <n v="113.2"/>
    <n v="108"/>
    <n v="19.239999999999998"/>
    <n v="189.3"/>
    <n v="63"/>
    <n v="16.09"/>
    <n v="271.8"/>
    <n v="124"/>
    <n v="12.23"/>
    <x v="71"/>
    <x v="4"/>
    <x v="71"/>
    <x v="3"/>
    <x v="0"/>
  </r>
  <r>
    <s v="WI"/>
    <x v="18"/>
    <s v="area_code_415"/>
    <x v="0"/>
    <x v="0"/>
    <n v="36"/>
    <n v="166.2"/>
    <n v="54"/>
    <n v="28.25"/>
    <n v="238.8"/>
    <n v="109"/>
    <n v="20.3"/>
    <n v="108.8"/>
    <n v="92"/>
    <n v="4.9000000000000004"/>
    <x v="7"/>
    <x v="5"/>
    <x v="7"/>
    <x v="3"/>
    <x v="0"/>
  </r>
  <r>
    <s v="SC"/>
    <x v="145"/>
    <s v="area_code_415"/>
    <x v="0"/>
    <x v="1"/>
    <n v="0"/>
    <n v="207.8"/>
    <n v="92"/>
    <n v="35.33"/>
    <n v="195.7"/>
    <n v="110"/>
    <n v="16.63"/>
    <n v="184.8"/>
    <n v="124"/>
    <n v="8.32"/>
    <x v="67"/>
    <x v="4"/>
    <x v="67"/>
    <x v="1"/>
    <x v="0"/>
  </r>
  <r>
    <s v="MI"/>
    <x v="93"/>
    <s v="area_code_510"/>
    <x v="0"/>
    <x v="0"/>
    <n v="35"/>
    <n v="245.4"/>
    <n v="89"/>
    <n v="41.72"/>
    <n v="148.19999999999999"/>
    <n v="102"/>
    <n v="12.6"/>
    <n v="274"/>
    <n v="136"/>
    <n v="12.33"/>
    <x v="4"/>
    <x v="3"/>
    <x v="4"/>
    <x v="0"/>
    <x v="0"/>
  </r>
  <r>
    <s v="MD"/>
    <x v="161"/>
    <s v="area_code_408"/>
    <x v="0"/>
    <x v="1"/>
    <n v="0"/>
    <n v="287.10000000000002"/>
    <n v="108"/>
    <n v="48.81"/>
    <n v="178.4"/>
    <n v="125"/>
    <n v="15.16"/>
    <n v="153.19999999999999"/>
    <n v="98"/>
    <n v="6.89"/>
    <x v="90"/>
    <x v="5"/>
    <x v="90"/>
    <x v="3"/>
    <x v="1"/>
  </r>
  <r>
    <s v="IN"/>
    <x v="185"/>
    <s v="area_code_510"/>
    <x v="0"/>
    <x v="0"/>
    <n v="32"/>
    <n v="192.3"/>
    <n v="82"/>
    <n v="32.69"/>
    <n v="165.3"/>
    <n v="134"/>
    <n v="14.05"/>
    <n v="205"/>
    <n v="74"/>
    <n v="9.23"/>
    <x v="62"/>
    <x v="8"/>
    <x v="62"/>
    <x v="2"/>
    <x v="0"/>
  </r>
  <r>
    <s v="ME"/>
    <x v="155"/>
    <s v="area_code_510"/>
    <x v="0"/>
    <x v="1"/>
    <n v="0"/>
    <n v="194.2"/>
    <n v="122"/>
    <n v="33.01"/>
    <n v="242.1"/>
    <n v="81"/>
    <n v="20.58"/>
    <n v="215.8"/>
    <n v="80"/>
    <n v="9.7100000000000009"/>
    <x v="84"/>
    <x v="0"/>
    <x v="84"/>
    <x v="2"/>
    <x v="0"/>
  </r>
  <r>
    <s v="DC"/>
    <x v="106"/>
    <s v="area_code_415"/>
    <x v="0"/>
    <x v="1"/>
    <n v="0"/>
    <n v="211"/>
    <n v="92"/>
    <n v="35.869999999999997"/>
    <n v="217"/>
    <n v="102"/>
    <n v="18.45"/>
    <n v="214.8"/>
    <n v="104"/>
    <n v="9.67"/>
    <x v="52"/>
    <x v="2"/>
    <x v="52"/>
    <x v="3"/>
    <x v="0"/>
  </r>
  <r>
    <s v="TN"/>
    <x v="17"/>
    <s v="area_code_415"/>
    <x v="0"/>
    <x v="0"/>
    <n v="12"/>
    <n v="141.9"/>
    <n v="92"/>
    <n v="24.12"/>
    <n v="228.9"/>
    <n v="102"/>
    <n v="19.46"/>
    <n v="195.1"/>
    <n v="101"/>
    <n v="8.7799999999999994"/>
    <x v="6"/>
    <x v="1"/>
    <x v="6"/>
    <x v="1"/>
    <x v="0"/>
  </r>
  <r>
    <s v="FL"/>
    <x v="34"/>
    <s v="area_code_415"/>
    <x v="0"/>
    <x v="0"/>
    <n v="26"/>
    <n v="220.5"/>
    <n v="94"/>
    <n v="37.49"/>
    <n v="239.5"/>
    <n v="126"/>
    <n v="20.36"/>
    <n v="254.3"/>
    <n v="109"/>
    <n v="11.44"/>
    <x v="96"/>
    <x v="6"/>
    <x v="96"/>
    <x v="2"/>
    <x v="0"/>
  </r>
  <r>
    <s v="WA"/>
    <x v="186"/>
    <s v="area_code_415"/>
    <x v="0"/>
    <x v="1"/>
    <n v="0"/>
    <n v="157.4"/>
    <n v="122"/>
    <n v="26.76"/>
    <n v="145"/>
    <n v="75"/>
    <n v="12.33"/>
    <n v="281.8"/>
    <n v="92"/>
    <n v="12.68"/>
    <x v="38"/>
    <x v="5"/>
    <x v="38"/>
    <x v="0"/>
    <x v="0"/>
  </r>
  <r>
    <s v="HI"/>
    <x v="137"/>
    <s v="area_code_408"/>
    <x v="0"/>
    <x v="0"/>
    <n v="28"/>
    <n v="143.5"/>
    <n v="106"/>
    <n v="24.4"/>
    <n v="223.5"/>
    <n v="147"/>
    <n v="19"/>
    <n v="175.4"/>
    <n v="69"/>
    <n v="7.89"/>
    <x v="7"/>
    <x v="1"/>
    <x v="7"/>
    <x v="1"/>
    <x v="0"/>
  </r>
  <r>
    <s v="NE"/>
    <x v="44"/>
    <s v="area_code_415"/>
    <x v="0"/>
    <x v="1"/>
    <n v="0"/>
    <n v="156"/>
    <n v="56"/>
    <n v="26.52"/>
    <n v="56"/>
    <n v="116"/>
    <n v="4.76"/>
    <n v="163.30000000000001"/>
    <n v="104"/>
    <n v="7.35"/>
    <x v="56"/>
    <x v="10"/>
    <x v="56"/>
    <x v="1"/>
    <x v="0"/>
  </r>
  <r>
    <s v="TN"/>
    <x v="117"/>
    <s v="area_code_408"/>
    <x v="1"/>
    <x v="1"/>
    <n v="0"/>
    <n v="160.1"/>
    <n v="63"/>
    <n v="27.22"/>
    <n v="208.4"/>
    <n v="112"/>
    <n v="17.71"/>
    <n v="177.6"/>
    <n v="98"/>
    <n v="7.99"/>
    <x v="29"/>
    <x v="0"/>
    <x v="29"/>
    <x v="2"/>
    <x v="0"/>
  </r>
  <r>
    <s v="MD"/>
    <x v="105"/>
    <s v="area_code_415"/>
    <x v="1"/>
    <x v="1"/>
    <n v="0"/>
    <n v="235.1"/>
    <n v="98"/>
    <n v="39.97"/>
    <n v="251.8"/>
    <n v="79"/>
    <n v="21.4"/>
    <n v="285.89999999999998"/>
    <n v="76"/>
    <n v="12.87"/>
    <x v="68"/>
    <x v="5"/>
    <x v="68"/>
    <x v="4"/>
    <x v="1"/>
  </r>
  <r>
    <s v="NM"/>
    <x v="115"/>
    <s v="area_code_415"/>
    <x v="1"/>
    <x v="0"/>
    <n v="15"/>
    <n v="160"/>
    <n v="95"/>
    <n v="27.2"/>
    <n v="209.5"/>
    <n v="110"/>
    <n v="17.809999999999999"/>
    <n v="82.3"/>
    <n v="107"/>
    <n v="3.7"/>
    <x v="6"/>
    <x v="1"/>
    <x v="6"/>
    <x v="5"/>
    <x v="1"/>
  </r>
  <r>
    <s v="OR"/>
    <x v="29"/>
    <s v="area_code_415"/>
    <x v="0"/>
    <x v="1"/>
    <n v="0"/>
    <n v="194.8"/>
    <n v="97"/>
    <n v="33.119999999999997"/>
    <n v="235.3"/>
    <n v="118"/>
    <n v="20"/>
    <n v="174.4"/>
    <n v="126"/>
    <n v="7.85"/>
    <x v="34"/>
    <x v="0"/>
    <x v="34"/>
    <x v="0"/>
    <x v="0"/>
  </r>
  <r>
    <s v="IN"/>
    <x v="108"/>
    <s v="area_code_510"/>
    <x v="0"/>
    <x v="1"/>
    <n v="0"/>
    <n v="247.8"/>
    <n v="117"/>
    <n v="42.13"/>
    <n v="130"/>
    <n v="95"/>
    <n v="11.05"/>
    <n v="134.30000000000001"/>
    <n v="125"/>
    <n v="6.04"/>
    <x v="72"/>
    <x v="5"/>
    <x v="72"/>
    <x v="0"/>
    <x v="0"/>
  </r>
  <r>
    <s v="MO"/>
    <x v="28"/>
    <s v="area_code_415"/>
    <x v="0"/>
    <x v="1"/>
    <n v="0"/>
    <n v="221.2"/>
    <n v="80"/>
    <n v="37.6"/>
    <n v="213.6"/>
    <n v="104"/>
    <n v="18.16"/>
    <n v="291.8"/>
    <n v="89"/>
    <n v="13.13"/>
    <x v="78"/>
    <x v="0"/>
    <x v="78"/>
    <x v="4"/>
    <x v="0"/>
  </r>
  <r>
    <s v="DC"/>
    <x v="187"/>
    <s v="area_code_415"/>
    <x v="0"/>
    <x v="0"/>
    <n v="33"/>
    <n v="231.8"/>
    <n v="78"/>
    <n v="39.409999999999997"/>
    <n v="232.9"/>
    <n v="79"/>
    <n v="19.8"/>
    <n v="206.9"/>
    <n v="121"/>
    <n v="9.31"/>
    <x v="98"/>
    <x v="4"/>
    <x v="98"/>
    <x v="0"/>
    <x v="0"/>
  </r>
  <r>
    <s v="VT"/>
    <x v="108"/>
    <s v="area_code_415"/>
    <x v="0"/>
    <x v="0"/>
    <n v="25"/>
    <n v="215.9"/>
    <n v="90"/>
    <n v="36.700000000000003"/>
    <n v="257.89999999999998"/>
    <n v="92"/>
    <n v="21.92"/>
    <n v="180.2"/>
    <n v="157"/>
    <n v="8.11"/>
    <x v="43"/>
    <x v="4"/>
    <x v="43"/>
    <x v="0"/>
    <x v="0"/>
  </r>
  <r>
    <s v="OH"/>
    <x v="115"/>
    <s v="area_code_415"/>
    <x v="0"/>
    <x v="0"/>
    <n v="35"/>
    <n v="217.1"/>
    <n v="92"/>
    <n v="36.909999999999997"/>
    <n v="220.8"/>
    <n v="134"/>
    <n v="18.77"/>
    <n v="249.5"/>
    <n v="93"/>
    <n v="11.23"/>
    <x v="40"/>
    <x v="1"/>
    <x v="40"/>
    <x v="2"/>
    <x v="0"/>
  </r>
  <r>
    <s v="MO"/>
    <x v="112"/>
    <s v="area_code_415"/>
    <x v="0"/>
    <x v="1"/>
    <n v="0"/>
    <n v="83.5"/>
    <n v="96"/>
    <n v="14.2"/>
    <n v="221.1"/>
    <n v="63"/>
    <n v="18.79"/>
    <n v="349.7"/>
    <n v="75"/>
    <n v="15.74"/>
    <x v="44"/>
    <x v="0"/>
    <x v="44"/>
    <x v="1"/>
    <x v="0"/>
  </r>
  <r>
    <s v="LA"/>
    <x v="61"/>
    <s v="area_code_408"/>
    <x v="0"/>
    <x v="0"/>
    <n v="39"/>
    <n v="183.3"/>
    <n v="106"/>
    <n v="31.16"/>
    <n v="205.1"/>
    <n v="101"/>
    <n v="17.43"/>
    <n v="263.7"/>
    <n v="90"/>
    <n v="11.87"/>
    <x v="118"/>
    <x v="2"/>
    <x v="118"/>
    <x v="0"/>
    <x v="0"/>
  </r>
  <r>
    <s v="IL"/>
    <x v="26"/>
    <s v="area_code_415"/>
    <x v="1"/>
    <x v="1"/>
    <n v="0"/>
    <n v="236.8"/>
    <n v="141"/>
    <n v="40.26"/>
    <n v="265.3"/>
    <n v="101"/>
    <n v="22.55"/>
    <n v="152.4"/>
    <n v="77"/>
    <n v="6.86"/>
    <x v="17"/>
    <x v="5"/>
    <x v="17"/>
    <x v="0"/>
    <x v="1"/>
  </r>
  <r>
    <s v="NJ"/>
    <x v="160"/>
    <s v="area_code_415"/>
    <x v="0"/>
    <x v="1"/>
    <n v="0"/>
    <n v="193.8"/>
    <n v="90"/>
    <n v="32.950000000000003"/>
    <n v="195.3"/>
    <n v="121"/>
    <n v="16.600000000000001"/>
    <n v="182.7"/>
    <n v="108"/>
    <n v="8.2200000000000006"/>
    <x v="31"/>
    <x v="0"/>
    <x v="31"/>
    <x v="0"/>
    <x v="0"/>
  </r>
  <r>
    <s v="IA"/>
    <x v="73"/>
    <s v="area_code_510"/>
    <x v="0"/>
    <x v="0"/>
    <n v="25"/>
    <n v="134"/>
    <n v="112"/>
    <n v="22.78"/>
    <n v="206"/>
    <n v="111"/>
    <n v="17.510000000000002"/>
    <n v="180.6"/>
    <n v="118"/>
    <n v="8.1300000000000008"/>
    <x v="84"/>
    <x v="4"/>
    <x v="84"/>
    <x v="1"/>
    <x v="0"/>
  </r>
  <r>
    <s v="WA"/>
    <x v="163"/>
    <s v="area_code_510"/>
    <x v="0"/>
    <x v="0"/>
    <n v="25"/>
    <n v="176.6"/>
    <n v="65"/>
    <n v="30.02"/>
    <n v="172.7"/>
    <n v="96"/>
    <n v="14.68"/>
    <n v="104.5"/>
    <n v="128"/>
    <n v="4.7"/>
    <x v="61"/>
    <x v="1"/>
    <x v="61"/>
    <x v="2"/>
    <x v="0"/>
  </r>
  <r>
    <s v="NE"/>
    <x v="185"/>
    <s v="area_code_415"/>
    <x v="0"/>
    <x v="1"/>
    <n v="0"/>
    <n v="191.4"/>
    <n v="93"/>
    <n v="32.54"/>
    <n v="205.4"/>
    <n v="119"/>
    <n v="17.46"/>
    <n v="205.7"/>
    <n v="121"/>
    <n v="9.26"/>
    <x v="39"/>
    <x v="0"/>
    <x v="39"/>
    <x v="3"/>
    <x v="0"/>
  </r>
  <r>
    <s v="CT"/>
    <x v="56"/>
    <s v="area_code_510"/>
    <x v="1"/>
    <x v="0"/>
    <n v="35"/>
    <n v="174.8"/>
    <n v="127"/>
    <n v="29.72"/>
    <n v="219.6"/>
    <n v="93"/>
    <n v="18.670000000000002"/>
    <n v="255.8"/>
    <n v="90"/>
    <n v="11.51"/>
    <x v="75"/>
    <x v="0"/>
    <x v="75"/>
    <x v="1"/>
    <x v="0"/>
  </r>
  <r>
    <s v="WV"/>
    <x v="119"/>
    <s v="area_code_408"/>
    <x v="0"/>
    <x v="1"/>
    <n v="0"/>
    <n v="275.2"/>
    <n v="67"/>
    <n v="46.78"/>
    <n v="180.2"/>
    <n v="108"/>
    <n v="15.32"/>
    <n v="159"/>
    <n v="110"/>
    <n v="7.15"/>
    <x v="57"/>
    <x v="5"/>
    <x v="57"/>
    <x v="0"/>
    <x v="0"/>
  </r>
  <r>
    <s v="ND"/>
    <x v="60"/>
    <s v="area_code_408"/>
    <x v="0"/>
    <x v="1"/>
    <n v="0"/>
    <n v="174"/>
    <n v="85"/>
    <n v="29.58"/>
    <n v="241.1"/>
    <n v="114"/>
    <n v="20.49"/>
    <n v="207.8"/>
    <n v="94"/>
    <n v="9.35"/>
    <x v="57"/>
    <x v="8"/>
    <x v="57"/>
    <x v="0"/>
    <x v="0"/>
  </r>
  <r>
    <s v="UT"/>
    <x v="83"/>
    <s v="area_code_415"/>
    <x v="0"/>
    <x v="1"/>
    <n v="0"/>
    <n v="165"/>
    <n v="132"/>
    <n v="28.05"/>
    <n v="249.7"/>
    <n v="86"/>
    <n v="21.22"/>
    <n v="170.3"/>
    <n v="128"/>
    <n v="7.66"/>
    <x v="44"/>
    <x v="10"/>
    <x v="44"/>
    <x v="0"/>
    <x v="0"/>
  </r>
  <r>
    <s v="MS"/>
    <x v="49"/>
    <s v="area_code_415"/>
    <x v="0"/>
    <x v="1"/>
    <n v="0"/>
    <n v="228.7"/>
    <n v="102"/>
    <n v="38.880000000000003"/>
    <n v="168.7"/>
    <n v="99"/>
    <n v="14.34"/>
    <n v="223.5"/>
    <n v="100"/>
    <n v="10.06"/>
    <x v="23"/>
    <x v="4"/>
    <x v="23"/>
    <x v="0"/>
    <x v="0"/>
  </r>
  <r>
    <s v="MN"/>
    <x v="66"/>
    <s v="area_code_415"/>
    <x v="0"/>
    <x v="1"/>
    <n v="0"/>
    <n v="107.9"/>
    <n v="88"/>
    <n v="18.34"/>
    <n v="235.8"/>
    <n v="109"/>
    <n v="20.04"/>
    <n v="228.6"/>
    <n v="119"/>
    <n v="10.29"/>
    <x v="17"/>
    <x v="0"/>
    <x v="17"/>
    <x v="2"/>
    <x v="0"/>
  </r>
  <r>
    <s v="NH"/>
    <x v="83"/>
    <s v="area_code_510"/>
    <x v="0"/>
    <x v="1"/>
    <n v="0"/>
    <n v="221.3"/>
    <n v="140"/>
    <n v="37.619999999999997"/>
    <n v="157.80000000000001"/>
    <n v="89"/>
    <n v="13.41"/>
    <n v="192.5"/>
    <n v="89"/>
    <n v="8.66"/>
    <x v="61"/>
    <x v="3"/>
    <x v="61"/>
    <x v="0"/>
    <x v="0"/>
  </r>
  <r>
    <s v="LA"/>
    <x v="11"/>
    <s v="area_code_415"/>
    <x v="0"/>
    <x v="1"/>
    <n v="0"/>
    <n v="141.1"/>
    <n v="84"/>
    <n v="23.99"/>
    <n v="211.4"/>
    <n v="108"/>
    <n v="17.97"/>
    <n v="103.7"/>
    <n v="127"/>
    <n v="4.67"/>
    <x v="96"/>
    <x v="3"/>
    <x v="96"/>
    <x v="3"/>
    <x v="0"/>
  </r>
  <r>
    <s v="ME"/>
    <x v="62"/>
    <s v="area_code_408"/>
    <x v="0"/>
    <x v="0"/>
    <n v="31"/>
    <n v="166.4"/>
    <n v="92"/>
    <n v="28.29"/>
    <n v="238.3"/>
    <n v="74"/>
    <n v="20.260000000000002"/>
    <n v="150.69999999999999"/>
    <n v="84"/>
    <n v="6.78"/>
    <x v="85"/>
    <x v="4"/>
    <x v="85"/>
    <x v="4"/>
    <x v="0"/>
  </r>
  <r>
    <s v="KS"/>
    <x v="100"/>
    <s v="area_code_415"/>
    <x v="0"/>
    <x v="0"/>
    <n v="28"/>
    <n v="249.6"/>
    <n v="87"/>
    <n v="42.43"/>
    <n v="227.2"/>
    <n v="138"/>
    <n v="19.309999999999999"/>
    <n v="239.9"/>
    <n v="92"/>
    <n v="10.8"/>
    <x v="98"/>
    <x v="0"/>
    <x v="98"/>
    <x v="3"/>
    <x v="0"/>
  </r>
  <r>
    <s v="KS"/>
    <x v="25"/>
    <s v="area_code_510"/>
    <x v="0"/>
    <x v="1"/>
    <n v="0"/>
    <n v="178.6"/>
    <n v="83"/>
    <n v="30.36"/>
    <n v="213.1"/>
    <n v="103"/>
    <n v="18.11"/>
    <n v="198"/>
    <n v="119"/>
    <n v="8.91"/>
    <x v="54"/>
    <x v="1"/>
    <x v="54"/>
    <x v="0"/>
    <x v="0"/>
  </r>
  <r>
    <s v="NV"/>
    <x v="187"/>
    <s v="area_code_510"/>
    <x v="0"/>
    <x v="1"/>
    <n v="0"/>
    <n v="139"/>
    <n v="96"/>
    <n v="23.63"/>
    <n v="224.9"/>
    <n v="64"/>
    <n v="19.12"/>
    <n v="170.8"/>
    <n v="118"/>
    <n v="7.69"/>
    <x v="135"/>
    <x v="1"/>
    <x v="135"/>
    <x v="2"/>
    <x v="0"/>
  </r>
  <r>
    <s v="MT"/>
    <x v="91"/>
    <s v="area_code_415"/>
    <x v="0"/>
    <x v="1"/>
    <n v="0"/>
    <n v="134.30000000000001"/>
    <n v="98"/>
    <n v="22.83"/>
    <n v="202.3"/>
    <n v="109"/>
    <n v="17.2"/>
    <n v="195.9"/>
    <n v="100"/>
    <n v="8.82"/>
    <x v="44"/>
    <x v="1"/>
    <x v="44"/>
    <x v="2"/>
    <x v="0"/>
  </r>
  <r>
    <s v="MT"/>
    <x v="48"/>
    <s v="area_code_415"/>
    <x v="0"/>
    <x v="1"/>
    <n v="0"/>
    <n v="215.9"/>
    <n v="93"/>
    <n v="36.700000000000003"/>
    <n v="240.1"/>
    <n v="85"/>
    <n v="20.41"/>
    <n v="156.69999999999999"/>
    <n v="123"/>
    <n v="7.05"/>
    <x v="140"/>
    <x v="1"/>
    <x v="140"/>
    <x v="3"/>
    <x v="0"/>
  </r>
  <r>
    <s v="AK"/>
    <x v="64"/>
    <s v="area_code_415"/>
    <x v="0"/>
    <x v="1"/>
    <n v="0"/>
    <n v="178.4"/>
    <n v="97"/>
    <n v="30.33"/>
    <n v="168.3"/>
    <n v="113"/>
    <n v="14.31"/>
    <n v="120.5"/>
    <n v="93"/>
    <n v="5.42"/>
    <x v="38"/>
    <x v="6"/>
    <x v="38"/>
    <x v="0"/>
    <x v="0"/>
  </r>
  <r>
    <s v="UT"/>
    <x v="9"/>
    <s v="area_code_415"/>
    <x v="0"/>
    <x v="1"/>
    <n v="0"/>
    <n v="106.4"/>
    <n v="84"/>
    <n v="18.09"/>
    <n v="140.19999999999999"/>
    <n v="104"/>
    <n v="11.92"/>
    <n v="90.9"/>
    <n v="81"/>
    <n v="4.09"/>
    <x v="37"/>
    <x v="0"/>
    <x v="37"/>
    <x v="0"/>
    <x v="0"/>
  </r>
  <r>
    <s v="AR"/>
    <x v="143"/>
    <s v="area_code_510"/>
    <x v="0"/>
    <x v="1"/>
    <n v="0"/>
    <n v="170.7"/>
    <n v="101"/>
    <n v="29.02"/>
    <n v="240.2"/>
    <n v="82"/>
    <n v="20.420000000000002"/>
    <n v="119"/>
    <n v="112"/>
    <n v="5.36"/>
    <x v="37"/>
    <x v="4"/>
    <x v="37"/>
    <x v="2"/>
    <x v="0"/>
  </r>
  <r>
    <s v="LA"/>
    <x v="52"/>
    <s v="area_code_510"/>
    <x v="0"/>
    <x v="0"/>
    <n v="33"/>
    <n v="184.5"/>
    <n v="139"/>
    <n v="31.37"/>
    <n v="183.2"/>
    <n v="78"/>
    <n v="15.57"/>
    <n v="127.4"/>
    <n v="106"/>
    <n v="5.73"/>
    <x v="10"/>
    <x v="3"/>
    <x v="10"/>
    <x v="1"/>
    <x v="0"/>
  </r>
  <r>
    <s v="KS"/>
    <x v="146"/>
    <s v="area_code_510"/>
    <x v="0"/>
    <x v="0"/>
    <n v="37"/>
    <n v="161.19999999999999"/>
    <n v="109"/>
    <n v="27.4"/>
    <n v="204.2"/>
    <n v="79"/>
    <n v="17.36"/>
    <n v="231.5"/>
    <n v="87"/>
    <n v="10.42"/>
    <x v="56"/>
    <x v="4"/>
    <x v="56"/>
    <x v="0"/>
    <x v="0"/>
  </r>
  <r>
    <s v="OR"/>
    <x v="181"/>
    <s v="area_code_408"/>
    <x v="0"/>
    <x v="1"/>
    <n v="0"/>
    <n v="84.9"/>
    <n v="77"/>
    <n v="14.43"/>
    <n v="257.5"/>
    <n v="109"/>
    <n v="21.89"/>
    <n v="210.5"/>
    <n v="66"/>
    <n v="9.4700000000000006"/>
    <x v="4"/>
    <x v="1"/>
    <x v="4"/>
    <x v="2"/>
    <x v="0"/>
  </r>
  <r>
    <s v="WI"/>
    <x v="75"/>
    <s v="area_code_510"/>
    <x v="0"/>
    <x v="1"/>
    <n v="0"/>
    <n v="217.9"/>
    <n v="71"/>
    <n v="37.04"/>
    <n v="230.1"/>
    <n v="116"/>
    <n v="19.559999999999999"/>
    <n v="232.1"/>
    <n v="110"/>
    <n v="10.44"/>
    <x v="15"/>
    <x v="5"/>
    <x v="15"/>
    <x v="0"/>
    <x v="0"/>
  </r>
  <r>
    <s v="KS"/>
    <x v="114"/>
    <s v="area_code_510"/>
    <x v="0"/>
    <x v="1"/>
    <n v="0"/>
    <n v="243"/>
    <n v="91"/>
    <n v="41.31"/>
    <n v="183.9"/>
    <n v="77"/>
    <n v="15.63"/>
    <n v="184.3"/>
    <n v="109"/>
    <n v="8.2899999999999991"/>
    <x v="107"/>
    <x v="3"/>
    <x v="107"/>
    <x v="1"/>
    <x v="1"/>
  </r>
  <r>
    <s v="IL"/>
    <x v="119"/>
    <s v="area_code_510"/>
    <x v="0"/>
    <x v="1"/>
    <n v="0"/>
    <n v="128.19999999999999"/>
    <n v="71"/>
    <n v="21.79"/>
    <n v="48.1"/>
    <n v="78"/>
    <n v="4.09"/>
    <n v="116.3"/>
    <n v="80"/>
    <n v="5.23"/>
    <x v="56"/>
    <x v="0"/>
    <x v="56"/>
    <x v="1"/>
    <x v="0"/>
  </r>
  <r>
    <s v="IA"/>
    <x v="112"/>
    <s v="area_code_408"/>
    <x v="0"/>
    <x v="1"/>
    <n v="0"/>
    <n v="126.3"/>
    <n v="115"/>
    <n v="21.47"/>
    <n v="168.8"/>
    <n v="112"/>
    <n v="14.35"/>
    <n v="154.6"/>
    <n v="95"/>
    <n v="6.96"/>
    <x v="52"/>
    <x v="2"/>
    <x v="52"/>
    <x v="2"/>
    <x v="0"/>
  </r>
  <r>
    <s v="AZ"/>
    <x v="74"/>
    <s v="area_code_510"/>
    <x v="0"/>
    <x v="1"/>
    <n v="0"/>
    <n v="178.7"/>
    <n v="56"/>
    <n v="30.38"/>
    <n v="215.7"/>
    <n v="79"/>
    <n v="18.329999999999998"/>
    <n v="152.69999999999999"/>
    <n v="84"/>
    <n v="6.87"/>
    <x v="15"/>
    <x v="5"/>
    <x v="15"/>
    <x v="4"/>
    <x v="0"/>
  </r>
  <r>
    <s v="NE"/>
    <x v="75"/>
    <s v="area_code_510"/>
    <x v="0"/>
    <x v="1"/>
    <n v="0"/>
    <n v="159"/>
    <n v="109"/>
    <n v="27.03"/>
    <n v="255.1"/>
    <n v="142"/>
    <n v="21.68"/>
    <n v="82.4"/>
    <n v="73"/>
    <n v="3.71"/>
    <x v="3"/>
    <x v="4"/>
    <x v="3"/>
    <x v="1"/>
    <x v="0"/>
  </r>
  <r>
    <s v="ID"/>
    <x v="80"/>
    <s v="area_code_510"/>
    <x v="0"/>
    <x v="1"/>
    <n v="0"/>
    <n v="150.9"/>
    <n v="79"/>
    <n v="25.65"/>
    <n v="161.80000000000001"/>
    <n v="87"/>
    <n v="13.75"/>
    <n v="167.7"/>
    <n v="115"/>
    <n v="7.55"/>
    <x v="50"/>
    <x v="1"/>
    <x v="50"/>
    <x v="3"/>
    <x v="0"/>
  </r>
  <r>
    <s v="OH"/>
    <x v="5"/>
    <s v="area_code_415"/>
    <x v="1"/>
    <x v="0"/>
    <n v="24"/>
    <n v="219.9"/>
    <n v="118"/>
    <n v="37.380000000000003"/>
    <n v="208.5"/>
    <n v="116"/>
    <n v="17.72"/>
    <n v="352.5"/>
    <n v="111"/>
    <n v="15.86"/>
    <x v="111"/>
    <x v="4"/>
    <x v="111"/>
    <x v="3"/>
    <x v="0"/>
  </r>
  <r>
    <s v="TX"/>
    <x v="32"/>
    <s v="area_code_415"/>
    <x v="0"/>
    <x v="1"/>
    <n v="0"/>
    <n v="168"/>
    <n v="116"/>
    <n v="28.56"/>
    <n v="192.4"/>
    <n v="94"/>
    <n v="16.350000000000001"/>
    <n v="166.5"/>
    <n v="98"/>
    <n v="7.49"/>
    <x v="3"/>
    <x v="0"/>
    <x v="3"/>
    <x v="2"/>
    <x v="0"/>
  </r>
  <r>
    <s v="TN"/>
    <x v="65"/>
    <s v="area_code_510"/>
    <x v="0"/>
    <x v="0"/>
    <n v="34"/>
    <n v="162.1"/>
    <n v="83"/>
    <n v="27.56"/>
    <n v="171.8"/>
    <n v="117"/>
    <n v="14.6"/>
    <n v="259.8"/>
    <n v="76"/>
    <n v="11.69"/>
    <x v="63"/>
    <x v="0"/>
    <x v="63"/>
    <x v="4"/>
    <x v="1"/>
  </r>
  <r>
    <s v="OK"/>
    <x v="135"/>
    <s v="area_code_510"/>
    <x v="0"/>
    <x v="1"/>
    <n v="0"/>
    <n v="198.8"/>
    <n v="107"/>
    <n v="33.799999999999997"/>
    <n v="195.5"/>
    <n v="91"/>
    <n v="16.62"/>
    <n v="213.3"/>
    <n v="120"/>
    <n v="9.6"/>
    <x v="116"/>
    <x v="2"/>
    <x v="116"/>
    <x v="5"/>
    <x v="0"/>
  </r>
  <r>
    <s v="ND"/>
    <x v="27"/>
    <s v="area_code_510"/>
    <x v="1"/>
    <x v="1"/>
    <n v="0"/>
    <n v="256.8"/>
    <n v="90"/>
    <n v="43.66"/>
    <n v="230.1"/>
    <n v="104"/>
    <n v="19.559999999999999"/>
    <n v="143.6"/>
    <n v="82"/>
    <n v="6.46"/>
    <x v="9"/>
    <x v="11"/>
    <x v="9"/>
    <x v="3"/>
    <x v="0"/>
  </r>
  <r>
    <s v="NC"/>
    <x v="107"/>
    <s v="area_code_408"/>
    <x v="0"/>
    <x v="0"/>
    <n v="38"/>
    <n v="196.8"/>
    <n v="92"/>
    <n v="33.46"/>
    <n v="254.2"/>
    <n v="108"/>
    <n v="21.61"/>
    <n v="261.8"/>
    <n v="85"/>
    <n v="11.78"/>
    <x v="18"/>
    <x v="5"/>
    <x v="18"/>
    <x v="0"/>
    <x v="0"/>
  </r>
  <r>
    <s v="MN"/>
    <x v="66"/>
    <s v="area_code_415"/>
    <x v="0"/>
    <x v="1"/>
    <n v="0"/>
    <n v="140.1"/>
    <n v="120"/>
    <n v="23.82"/>
    <n v="231.4"/>
    <n v="128"/>
    <n v="19.670000000000002"/>
    <n v="188.1"/>
    <n v="127"/>
    <n v="8.4600000000000009"/>
    <x v="7"/>
    <x v="1"/>
    <x v="7"/>
    <x v="2"/>
    <x v="0"/>
  </r>
  <r>
    <s v="MN"/>
    <x v="51"/>
    <s v="area_code_415"/>
    <x v="0"/>
    <x v="1"/>
    <n v="0"/>
    <n v="194.3"/>
    <n v="83"/>
    <n v="33.03"/>
    <n v="189.9"/>
    <n v="97"/>
    <n v="16.14"/>
    <n v="232.2"/>
    <n v="102"/>
    <n v="10.45"/>
    <x v="62"/>
    <x v="0"/>
    <x v="62"/>
    <x v="5"/>
    <x v="0"/>
  </r>
  <r>
    <s v="MA"/>
    <x v="19"/>
    <s v="area_code_415"/>
    <x v="0"/>
    <x v="1"/>
    <n v="0"/>
    <n v="117.6"/>
    <n v="66"/>
    <n v="19.989999999999998"/>
    <n v="214"/>
    <n v="108"/>
    <n v="18.190000000000001"/>
    <n v="239.5"/>
    <n v="94"/>
    <n v="10.78"/>
    <x v="82"/>
    <x v="1"/>
    <x v="82"/>
    <x v="0"/>
    <x v="0"/>
  </r>
  <r>
    <s v="PA"/>
    <x v="116"/>
    <s v="area_code_415"/>
    <x v="1"/>
    <x v="1"/>
    <n v="0"/>
    <n v="193.7"/>
    <n v="108"/>
    <n v="32.93"/>
    <n v="186.6"/>
    <n v="98"/>
    <n v="15.86"/>
    <n v="223"/>
    <n v="100"/>
    <n v="10.039999999999999"/>
    <x v="43"/>
    <x v="10"/>
    <x v="43"/>
    <x v="1"/>
    <x v="0"/>
  </r>
  <r>
    <s v="GA"/>
    <x v="142"/>
    <s v="area_code_510"/>
    <x v="0"/>
    <x v="1"/>
    <n v="0"/>
    <n v="243.1"/>
    <n v="105"/>
    <n v="41.33"/>
    <n v="231.4"/>
    <n v="108"/>
    <n v="19.670000000000002"/>
    <n v="180.9"/>
    <n v="120"/>
    <n v="8.14"/>
    <x v="35"/>
    <x v="4"/>
    <x v="35"/>
    <x v="2"/>
    <x v="0"/>
  </r>
  <r>
    <s v="NV"/>
    <x v="40"/>
    <s v="area_code_415"/>
    <x v="0"/>
    <x v="1"/>
    <n v="0"/>
    <n v="145.4"/>
    <n v="132"/>
    <n v="24.72"/>
    <n v="129.30000000000001"/>
    <n v="91"/>
    <n v="10.99"/>
    <n v="186.4"/>
    <n v="109"/>
    <n v="8.39"/>
    <x v="133"/>
    <x v="4"/>
    <x v="133"/>
    <x v="0"/>
    <x v="0"/>
  </r>
  <r>
    <s v="ME"/>
    <x v="43"/>
    <s v="area_code_510"/>
    <x v="0"/>
    <x v="1"/>
    <n v="0"/>
    <n v="229.3"/>
    <n v="93"/>
    <n v="38.979999999999997"/>
    <n v="184.5"/>
    <n v="111"/>
    <n v="15.68"/>
    <n v="168.2"/>
    <n v="91"/>
    <n v="7.57"/>
    <x v="82"/>
    <x v="0"/>
    <x v="82"/>
    <x v="2"/>
    <x v="0"/>
  </r>
  <r>
    <s v="MN"/>
    <x v="86"/>
    <s v="area_code_510"/>
    <x v="0"/>
    <x v="0"/>
    <n v="33"/>
    <n v="186.4"/>
    <n v="84"/>
    <n v="31.69"/>
    <n v="201"/>
    <n v="136"/>
    <n v="17.09"/>
    <n v="286.7"/>
    <n v="103"/>
    <n v="12.9"/>
    <x v="22"/>
    <x v="0"/>
    <x v="22"/>
    <x v="2"/>
    <x v="1"/>
  </r>
  <r>
    <s v="NH"/>
    <x v="53"/>
    <s v="area_code_415"/>
    <x v="0"/>
    <x v="1"/>
    <n v="0"/>
    <n v="76.099999999999994"/>
    <n v="121"/>
    <n v="12.94"/>
    <n v="290.3"/>
    <n v="73"/>
    <n v="24.68"/>
    <n v="236.9"/>
    <n v="89"/>
    <n v="10.66"/>
    <x v="81"/>
    <x v="0"/>
    <x v="81"/>
    <x v="1"/>
    <x v="0"/>
  </r>
  <r>
    <s v="TN"/>
    <x v="28"/>
    <s v="area_code_415"/>
    <x v="0"/>
    <x v="1"/>
    <n v="0"/>
    <n v="162.80000000000001"/>
    <n v="65"/>
    <n v="27.68"/>
    <n v="185"/>
    <n v="109"/>
    <n v="15.73"/>
    <n v="219.5"/>
    <n v="104"/>
    <n v="9.8800000000000008"/>
    <x v="120"/>
    <x v="0"/>
    <x v="120"/>
    <x v="2"/>
    <x v="0"/>
  </r>
  <r>
    <s v="UT"/>
    <x v="15"/>
    <s v="area_code_415"/>
    <x v="0"/>
    <x v="1"/>
    <n v="0"/>
    <n v="182.3"/>
    <n v="115"/>
    <n v="30.99"/>
    <n v="199.2"/>
    <n v="97"/>
    <n v="16.93"/>
    <n v="120.2"/>
    <n v="113"/>
    <n v="5.41"/>
    <x v="101"/>
    <x v="1"/>
    <x v="101"/>
    <x v="0"/>
    <x v="0"/>
  </r>
  <r>
    <s v="RI"/>
    <x v="0"/>
    <s v="area_code_510"/>
    <x v="1"/>
    <x v="1"/>
    <n v="0"/>
    <n v="194.4"/>
    <n v="83"/>
    <n v="33.049999999999997"/>
    <n v="247.8"/>
    <n v="84"/>
    <n v="21.06"/>
    <n v="245.4"/>
    <n v="93"/>
    <n v="11.04"/>
    <x v="7"/>
    <x v="2"/>
    <x v="7"/>
    <x v="2"/>
    <x v="0"/>
  </r>
  <r>
    <s v="NH"/>
    <x v="132"/>
    <s v="area_code_408"/>
    <x v="0"/>
    <x v="0"/>
    <n v="20"/>
    <n v="189.3"/>
    <n v="95"/>
    <n v="32.18"/>
    <n v="118.6"/>
    <n v="113"/>
    <n v="10.08"/>
    <n v="250.2"/>
    <n v="102"/>
    <n v="11.26"/>
    <x v="60"/>
    <x v="4"/>
    <x v="60"/>
    <x v="2"/>
    <x v="0"/>
  </r>
  <r>
    <s v="AK"/>
    <x v="14"/>
    <s v="area_code_415"/>
    <x v="0"/>
    <x v="0"/>
    <n v="22"/>
    <n v="160.1"/>
    <n v="107"/>
    <n v="27.22"/>
    <n v="168.7"/>
    <n v="136"/>
    <n v="14.34"/>
    <n v="23.2"/>
    <n v="102"/>
    <n v="1.04"/>
    <x v="17"/>
    <x v="4"/>
    <x v="17"/>
    <x v="3"/>
    <x v="0"/>
  </r>
  <r>
    <s v="NC"/>
    <x v="150"/>
    <s v="area_code_510"/>
    <x v="0"/>
    <x v="1"/>
    <n v="0"/>
    <n v="145"/>
    <n v="76"/>
    <n v="24.65"/>
    <n v="240.7"/>
    <n v="112"/>
    <n v="20.46"/>
    <n v="197.1"/>
    <n v="134"/>
    <n v="8.8699999999999992"/>
    <x v="5"/>
    <x v="4"/>
    <x v="5"/>
    <x v="3"/>
    <x v="0"/>
  </r>
  <r>
    <s v="AZ"/>
    <x v="68"/>
    <s v="area_code_415"/>
    <x v="0"/>
    <x v="1"/>
    <n v="0"/>
    <n v="220.7"/>
    <n v="105"/>
    <n v="37.520000000000003"/>
    <n v="119.3"/>
    <n v="127"/>
    <n v="10.14"/>
    <n v="165.1"/>
    <n v="113"/>
    <n v="7.43"/>
    <x v="73"/>
    <x v="2"/>
    <x v="73"/>
    <x v="4"/>
    <x v="0"/>
  </r>
  <r>
    <s v="MA"/>
    <x v="46"/>
    <s v="area_code_408"/>
    <x v="0"/>
    <x v="0"/>
    <n v="31"/>
    <n v="224.7"/>
    <n v="69"/>
    <n v="38.200000000000003"/>
    <n v="134.5"/>
    <n v="81"/>
    <n v="11.43"/>
    <n v="120.3"/>
    <n v="104"/>
    <n v="5.41"/>
    <x v="4"/>
    <x v="1"/>
    <x v="4"/>
    <x v="0"/>
    <x v="1"/>
  </r>
  <r>
    <s v="TN"/>
    <x v="145"/>
    <s v="area_code_408"/>
    <x v="0"/>
    <x v="1"/>
    <n v="0"/>
    <n v="147"/>
    <n v="79"/>
    <n v="24.99"/>
    <n v="162.30000000000001"/>
    <n v="103"/>
    <n v="13.8"/>
    <n v="162.9"/>
    <n v="80"/>
    <n v="7.33"/>
    <x v="26"/>
    <x v="4"/>
    <x v="26"/>
    <x v="0"/>
    <x v="0"/>
  </r>
  <r>
    <s v="WY"/>
    <x v="11"/>
    <s v="area_code_415"/>
    <x v="0"/>
    <x v="0"/>
    <n v="39"/>
    <n v="260.8"/>
    <n v="130"/>
    <n v="44.34"/>
    <n v="213.4"/>
    <n v="111"/>
    <n v="18.14"/>
    <n v="195.6"/>
    <n v="97"/>
    <n v="8.8000000000000007"/>
    <x v="3"/>
    <x v="1"/>
    <x v="3"/>
    <x v="0"/>
    <x v="0"/>
  </r>
  <r>
    <s v="IA"/>
    <x v="171"/>
    <s v="area_code_415"/>
    <x v="0"/>
    <x v="1"/>
    <n v="0"/>
    <n v="155.4"/>
    <n v="127"/>
    <n v="26.42"/>
    <n v="164.1"/>
    <n v="45"/>
    <n v="13.95"/>
    <n v="157.69999999999999"/>
    <n v="128"/>
    <n v="7.1"/>
    <x v="62"/>
    <x v="0"/>
    <x v="62"/>
    <x v="1"/>
    <x v="0"/>
  </r>
  <r>
    <s v="IN"/>
    <x v="112"/>
    <s v="area_code_415"/>
    <x v="0"/>
    <x v="1"/>
    <n v="0"/>
    <n v="166.2"/>
    <n v="112"/>
    <n v="28.25"/>
    <n v="255.3"/>
    <n v="81"/>
    <n v="21.7"/>
    <n v="228.1"/>
    <n v="97"/>
    <n v="10.26"/>
    <x v="11"/>
    <x v="2"/>
    <x v="11"/>
    <x v="0"/>
    <x v="0"/>
  </r>
  <r>
    <s v="NJ"/>
    <x v="100"/>
    <s v="area_code_415"/>
    <x v="0"/>
    <x v="1"/>
    <n v="0"/>
    <n v="211.8"/>
    <n v="115"/>
    <n v="36.01"/>
    <n v="260.5"/>
    <n v="102"/>
    <n v="22.14"/>
    <n v="144.19999999999999"/>
    <n v="96"/>
    <n v="6.49"/>
    <x v="81"/>
    <x v="2"/>
    <x v="81"/>
    <x v="1"/>
    <x v="0"/>
  </r>
  <r>
    <s v="MT"/>
    <x v="9"/>
    <s v="area_code_415"/>
    <x v="0"/>
    <x v="1"/>
    <n v="0"/>
    <n v="162.69999999999999"/>
    <n v="102"/>
    <n v="27.66"/>
    <n v="292"/>
    <n v="105"/>
    <n v="24.82"/>
    <n v="183.3"/>
    <n v="80"/>
    <n v="8.25"/>
    <x v="6"/>
    <x v="3"/>
    <x v="6"/>
    <x v="1"/>
    <x v="0"/>
  </r>
  <r>
    <s v="ND"/>
    <x v="40"/>
    <s v="area_code_408"/>
    <x v="1"/>
    <x v="0"/>
    <n v="37"/>
    <n v="237.1"/>
    <n v="76"/>
    <n v="40.31"/>
    <n v="264.2"/>
    <n v="125"/>
    <n v="22.46"/>
    <n v="271.3"/>
    <n v="120"/>
    <n v="12.21"/>
    <x v="57"/>
    <x v="0"/>
    <x v="57"/>
    <x v="0"/>
    <x v="0"/>
  </r>
  <r>
    <s v="MI"/>
    <x v="40"/>
    <s v="area_code_408"/>
    <x v="0"/>
    <x v="1"/>
    <n v="0"/>
    <n v="166.2"/>
    <n v="102"/>
    <n v="28.25"/>
    <n v="217.6"/>
    <n v="112"/>
    <n v="18.5"/>
    <n v="220.2"/>
    <n v="68"/>
    <n v="9.91"/>
    <x v="32"/>
    <x v="5"/>
    <x v="32"/>
    <x v="4"/>
    <x v="0"/>
  </r>
  <r>
    <s v="MT"/>
    <x v="159"/>
    <s v="area_code_415"/>
    <x v="0"/>
    <x v="1"/>
    <n v="0"/>
    <n v="121.7"/>
    <n v="48"/>
    <n v="20.69"/>
    <n v="125.8"/>
    <n v="112"/>
    <n v="10.69"/>
    <n v="261.60000000000002"/>
    <n v="122"/>
    <n v="11.77"/>
    <x v="24"/>
    <x v="5"/>
    <x v="24"/>
    <x v="8"/>
    <x v="1"/>
  </r>
  <r>
    <s v="AL"/>
    <x v="18"/>
    <s v="area_code_510"/>
    <x v="0"/>
    <x v="1"/>
    <n v="0"/>
    <n v="176.4"/>
    <n v="62"/>
    <n v="29.99"/>
    <n v="201"/>
    <n v="124"/>
    <n v="17.09"/>
    <n v="150.4"/>
    <n v="138"/>
    <n v="6.77"/>
    <x v="7"/>
    <x v="5"/>
    <x v="7"/>
    <x v="1"/>
    <x v="0"/>
  </r>
  <r>
    <s v="NV"/>
    <x v="188"/>
    <s v="area_code_510"/>
    <x v="0"/>
    <x v="0"/>
    <n v="27"/>
    <n v="67.400000000000006"/>
    <n v="116"/>
    <n v="11.46"/>
    <n v="244"/>
    <n v="78"/>
    <n v="20.74"/>
    <n v="281.10000000000002"/>
    <n v="93"/>
    <n v="12.65"/>
    <x v="37"/>
    <x v="5"/>
    <x v="37"/>
    <x v="2"/>
    <x v="0"/>
  </r>
  <r>
    <s v="MI"/>
    <x v="97"/>
    <s v="area_code_415"/>
    <x v="0"/>
    <x v="1"/>
    <n v="0"/>
    <n v="229.7"/>
    <n v="129"/>
    <n v="39.049999999999997"/>
    <n v="336"/>
    <n v="104"/>
    <n v="28.56"/>
    <n v="192.8"/>
    <n v="128"/>
    <n v="8.68"/>
    <x v="63"/>
    <x v="8"/>
    <x v="63"/>
    <x v="0"/>
    <x v="1"/>
  </r>
  <r>
    <s v="FL"/>
    <x v="90"/>
    <s v="area_code_415"/>
    <x v="0"/>
    <x v="0"/>
    <n v="24"/>
    <n v="176"/>
    <n v="118"/>
    <n v="29.92"/>
    <n v="277.89999999999998"/>
    <n v="116"/>
    <n v="23.62"/>
    <n v="174.7"/>
    <n v="71"/>
    <n v="7.86"/>
    <x v="20"/>
    <x v="2"/>
    <x v="20"/>
    <x v="0"/>
    <x v="0"/>
  </r>
  <r>
    <s v="NY"/>
    <x v="74"/>
    <s v="area_code_408"/>
    <x v="0"/>
    <x v="1"/>
    <n v="0"/>
    <n v="247.7"/>
    <n v="77"/>
    <n v="42.11"/>
    <n v="269.5"/>
    <n v="108"/>
    <n v="22.91"/>
    <n v="167.3"/>
    <n v="82"/>
    <n v="7.53"/>
    <x v="63"/>
    <x v="2"/>
    <x v="63"/>
    <x v="1"/>
    <x v="1"/>
  </r>
  <r>
    <s v="KS"/>
    <x v="137"/>
    <s v="area_code_510"/>
    <x v="0"/>
    <x v="1"/>
    <n v="0"/>
    <n v="115.4"/>
    <n v="90"/>
    <n v="19.62"/>
    <n v="262.60000000000002"/>
    <n v="68"/>
    <n v="22.32"/>
    <n v="245.7"/>
    <n v="69"/>
    <n v="11.06"/>
    <x v="67"/>
    <x v="1"/>
    <x v="67"/>
    <x v="2"/>
    <x v="0"/>
  </r>
  <r>
    <s v="NC"/>
    <x v="142"/>
    <s v="area_code_510"/>
    <x v="0"/>
    <x v="1"/>
    <n v="0"/>
    <n v="112.2"/>
    <n v="95"/>
    <n v="19.07"/>
    <n v="209.6"/>
    <n v="108"/>
    <n v="17.82"/>
    <n v="260.89999999999998"/>
    <n v="78"/>
    <n v="11.74"/>
    <x v="55"/>
    <x v="8"/>
    <x v="55"/>
    <x v="1"/>
    <x v="1"/>
  </r>
  <r>
    <s v="MN"/>
    <x v="143"/>
    <s v="area_code_408"/>
    <x v="0"/>
    <x v="1"/>
    <n v="0"/>
    <n v="162.6"/>
    <n v="138"/>
    <n v="27.64"/>
    <n v="154"/>
    <n v="109"/>
    <n v="13.09"/>
    <n v="209.7"/>
    <n v="118"/>
    <n v="9.44"/>
    <x v="73"/>
    <x v="4"/>
    <x v="73"/>
    <x v="1"/>
    <x v="0"/>
  </r>
  <r>
    <s v="RI"/>
    <x v="18"/>
    <s v="area_code_415"/>
    <x v="0"/>
    <x v="1"/>
    <n v="0"/>
    <n v="229.4"/>
    <n v="107"/>
    <n v="39"/>
    <n v="214.1"/>
    <n v="99"/>
    <n v="18.2"/>
    <n v="289.60000000000002"/>
    <n v="95"/>
    <n v="13.03"/>
    <x v="91"/>
    <x v="3"/>
    <x v="91"/>
    <x v="4"/>
    <x v="0"/>
  </r>
  <r>
    <s v="UT"/>
    <x v="56"/>
    <s v="area_code_415"/>
    <x v="0"/>
    <x v="1"/>
    <n v="0"/>
    <n v="139.6"/>
    <n v="96"/>
    <n v="23.73"/>
    <n v="124.2"/>
    <n v="93"/>
    <n v="10.56"/>
    <n v="95.6"/>
    <n v="75"/>
    <n v="4.3"/>
    <x v="51"/>
    <x v="4"/>
    <x v="51"/>
    <x v="2"/>
    <x v="0"/>
  </r>
  <r>
    <s v="OR"/>
    <x v="29"/>
    <s v="area_code_415"/>
    <x v="0"/>
    <x v="1"/>
    <n v="0"/>
    <n v="263.8"/>
    <n v="66"/>
    <n v="44.85"/>
    <n v="251.3"/>
    <n v="116"/>
    <n v="21.36"/>
    <n v="200.1"/>
    <n v="112"/>
    <n v="9"/>
    <x v="80"/>
    <x v="5"/>
    <x v="80"/>
    <x v="5"/>
    <x v="1"/>
  </r>
  <r>
    <s v="IL"/>
    <x v="0"/>
    <s v="area_code_415"/>
    <x v="0"/>
    <x v="0"/>
    <n v="14"/>
    <n v="114.3"/>
    <n v="132"/>
    <n v="19.43"/>
    <n v="199.8"/>
    <n v="91"/>
    <n v="16.98"/>
    <n v="194.7"/>
    <n v="74"/>
    <n v="8.76"/>
    <x v="4"/>
    <x v="10"/>
    <x v="4"/>
    <x v="0"/>
    <x v="0"/>
  </r>
  <r>
    <s v="OH"/>
    <x v="44"/>
    <s v="area_code_408"/>
    <x v="0"/>
    <x v="1"/>
    <n v="0"/>
    <n v="196.3"/>
    <n v="108"/>
    <n v="33.369999999999997"/>
    <n v="136.80000000000001"/>
    <n v="96"/>
    <n v="11.63"/>
    <n v="154.69999999999999"/>
    <n v="87"/>
    <n v="6.96"/>
    <x v="18"/>
    <x v="0"/>
    <x v="18"/>
    <x v="2"/>
    <x v="0"/>
  </r>
  <r>
    <s v="MA"/>
    <x v="80"/>
    <s v="area_code_510"/>
    <x v="0"/>
    <x v="1"/>
    <n v="0"/>
    <n v="253.2"/>
    <n v="95"/>
    <n v="43.04"/>
    <n v="188"/>
    <n v="116"/>
    <n v="15.98"/>
    <n v="142"/>
    <n v="133"/>
    <n v="6.39"/>
    <x v="59"/>
    <x v="4"/>
    <x v="59"/>
    <x v="0"/>
    <x v="0"/>
  </r>
  <r>
    <s v="OR"/>
    <x v="131"/>
    <s v="area_code_408"/>
    <x v="0"/>
    <x v="1"/>
    <n v="0"/>
    <n v="98"/>
    <n v="99"/>
    <n v="16.66"/>
    <n v="240.7"/>
    <n v="62"/>
    <n v="20.46"/>
    <n v="254.8"/>
    <n v="123"/>
    <n v="11.47"/>
    <x v="26"/>
    <x v="4"/>
    <x v="26"/>
    <x v="1"/>
    <x v="0"/>
  </r>
  <r>
    <s v="CA"/>
    <x v="73"/>
    <s v="area_code_408"/>
    <x v="0"/>
    <x v="1"/>
    <n v="0"/>
    <n v="249.4"/>
    <n v="118"/>
    <n v="42.4"/>
    <n v="211.5"/>
    <n v="95"/>
    <n v="17.98"/>
    <n v="169"/>
    <n v="116"/>
    <n v="7.61"/>
    <x v="9"/>
    <x v="0"/>
    <x v="9"/>
    <x v="1"/>
    <x v="0"/>
  </r>
  <r>
    <s v="WV"/>
    <x v="93"/>
    <s v="area_code_415"/>
    <x v="0"/>
    <x v="0"/>
    <n v="30"/>
    <n v="129.6"/>
    <n v="107"/>
    <n v="22.03"/>
    <n v="233"/>
    <n v="104"/>
    <n v="19.809999999999999"/>
    <n v="297"/>
    <n v="93"/>
    <n v="13.37"/>
    <x v="25"/>
    <x v="1"/>
    <x v="25"/>
    <x v="0"/>
    <x v="0"/>
  </r>
  <r>
    <s v="VT"/>
    <x v="64"/>
    <s v="area_code_415"/>
    <x v="0"/>
    <x v="1"/>
    <n v="0"/>
    <n v="221.3"/>
    <n v="106"/>
    <n v="37.619999999999997"/>
    <n v="267.60000000000002"/>
    <n v="98"/>
    <n v="22.75"/>
    <n v="111.5"/>
    <n v="80"/>
    <n v="5.0199999999999996"/>
    <x v="38"/>
    <x v="2"/>
    <x v="38"/>
    <x v="1"/>
    <x v="0"/>
  </r>
  <r>
    <s v="ID"/>
    <x v="123"/>
    <s v="area_code_415"/>
    <x v="0"/>
    <x v="1"/>
    <n v="0"/>
    <n v="220.7"/>
    <n v="106"/>
    <n v="37.520000000000003"/>
    <n v="177.8"/>
    <n v="118"/>
    <n v="15.11"/>
    <n v="206.1"/>
    <n v="102"/>
    <n v="9.27"/>
    <x v="70"/>
    <x v="6"/>
    <x v="70"/>
    <x v="0"/>
    <x v="0"/>
  </r>
  <r>
    <s v="OR"/>
    <x v="103"/>
    <s v="area_code_408"/>
    <x v="0"/>
    <x v="1"/>
    <n v="0"/>
    <n v="87.6"/>
    <n v="76"/>
    <n v="14.89"/>
    <n v="262"/>
    <n v="111"/>
    <n v="22.27"/>
    <n v="184.6"/>
    <n v="125"/>
    <n v="8.31"/>
    <x v="29"/>
    <x v="1"/>
    <x v="29"/>
    <x v="0"/>
    <x v="0"/>
  </r>
  <r>
    <s v="GA"/>
    <x v="14"/>
    <s v="area_code_408"/>
    <x v="0"/>
    <x v="1"/>
    <n v="0"/>
    <n v="203.6"/>
    <n v="61"/>
    <n v="34.61"/>
    <n v="161.69999999999999"/>
    <n v="127"/>
    <n v="13.74"/>
    <n v="175.9"/>
    <n v="97"/>
    <n v="7.92"/>
    <x v="80"/>
    <x v="0"/>
    <x v="80"/>
    <x v="1"/>
    <x v="0"/>
  </r>
  <r>
    <s v="ME"/>
    <x v="134"/>
    <s v="area_code_415"/>
    <x v="0"/>
    <x v="1"/>
    <n v="0"/>
    <n v="213.6"/>
    <n v="110"/>
    <n v="36.31"/>
    <n v="234.9"/>
    <n v="121"/>
    <n v="19.97"/>
    <n v="229.6"/>
    <n v="157"/>
    <n v="10.33"/>
    <x v="82"/>
    <x v="0"/>
    <x v="82"/>
    <x v="2"/>
    <x v="0"/>
  </r>
  <r>
    <s v="HI"/>
    <x v="28"/>
    <s v="area_code_415"/>
    <x v="0"/>
    <x v="0"/>
    <n v="31"/>
    <n v="181.6"/>
    <n v="112"/>
    <n v="30.87"/>
    <n v="220.7"/>
    <n v="100"/>
    <n v="18.760000000000002"/>
    <n v="236.3"/>
    <n v="121"/>
    <n v="10.63"/>
    <x v="89"/>
    <x v="4"/>
    <x v="89"/>
    <x v="2"/>
    <x v="0"/>
  </r>
  <r>
    <s v="AZ"/>
    <x v="7"/>
    <s v="area_code_510"/>
    <x v="0"/>
    <x v="0"/>
    <n v="22"/>
    <n v="215.4"/>
    <n v="123"/>
    <n v="36.619999999999997"/>
    <n v="328.7"/>
    <n v="98"/>
    <n v="27.94"/>
    <n v="160.5"/>
    <n v="89"/>
    <n v="7.22"/>
    <x v="35"/>
    <x v="3"/>
    <x v="35"/>
    <x v="0"/>
    <x v="0"/>
  </r>
  <r>
    <s v="IA"/>
    <x v="57"/>
    <s v="area_code_510"/>
    <x v="0"/>
    <x v="1"/>
    <n v="0"/>
    <n v="199.2"/>
    <n v="111"/>
    <n v="33.86"/>
    <n v="175.1"/>
    <n v="83"/>
    <n v="14.88"/>
    <n v="210.6"/>
    <n v="84"/>
    <n v="9.48"/>
    <x v="39"/>
    <x v="5"/>
    <x v="39"/>
    <x v="3"/>
    <x v="0"/>
  </r>
  <r>
    <s v="CT"/>
    <x v="1"/>
    <s v="area_code_415"/>
    <x v="0"/>
    <x v="1"/>
    <n v="0"/>
    <n v="115"/>
    <n v="130"/>
    <n v="19.55"/>
    <n v="137.80000000000001"/>
    <n v="83"/>
    <n v="11.71"/>
    <n v="224"/>
    <n v="61"/>
    <n v="10.08"/>
    <x v="48"/>
    <x v="4"/>
    <x v="48"/>
    <x v="3"/>
    <x v="0"/>
  </r>
  <r>
    <s v="WA"/>
    <x v="158"/>
    <s v="area_code_408"/>
    <x v="0"/>
    <x v="1"/>
    <n v="0"/>
    <n v="270.5"/>
    <n v="69"/>
    <n v="45.99"/>
    <n v="230"/>
    <n v="112"/>
    <n v="19.55"/>
    <n v="136"/>
    <n v="111"/>
    <n v="6.12"/>
    <x v="63"/>
    <x v="1"/>
    <x v="63"/>
    <x v="0"/>
    <x v="1"/>
  </r>
  <r>
    <s v="VA"/>
    <x v="38"/>
    <s v="area_code_415"/>
    <x v="0"/>
    <x v="1"/>
    <n v="0"/>
    <n v="222.2"/>
    <n v="127"/>
    <n v="37.770000000000003"/>
    <n v="153.1"/>
    <n v="125"/>
    <n v="13.01"/>
    <n v="227.4"/>
    <n v="80"/>
    <n v="10.23"/>
    <x v="89"/>
    <x v="4"/>
    <x v="89"/>
    <x v="0"/>
    <x v="0"/>
  </r>
  <r>
    <s v="CO"/>
    <x v="105"/>
    <s v="area_code_510"/>
    <x v="0"/>
    <x v="1"/>
    <n v="0"/>
    <n v="61.9"/>
    <n v="78"/>
    <n v="10.52"/>
    <n v="262.60000000000002"/>
    <n v="114"/>
    <n v="22.32"/>
    <n v="212.5"/>
    <n v="110"/>
    <n v="9.56"/>
    <x v="82"/>
    <x v="5"/>
    <x v="82"/>
    <x v="3"/>
    <x v="0"/>
  </r>
  <r>
    <s v="LA"/>
    <x v="121"/>
    <s v="area_code_415"/>
    <x v="0"/>
    <x v="1"/>
    <n v="0"/>
    <n v="141.1"/>
    <n v="92"/>
    <n v="23.99"/>
    <n v="249.1"/>
    <n v="126"/>
    <n v="21.17"/>
    <n v="136"/>
    <n v="73"/>
    <n v="6.12"/>
    <x v="81"/>
    <x v="5"/>
    <x v="81"/>
    <x v="2"/>
    <x v="0"/>
  </r>
  <r>
    <s v="TX"/>
    <x v="55"/>
    <s v="area_code_415"/>
    <x v="0"/>
    <x v="1"/>
    <n v="0"/>
    <n v="189.2"/>
    <n v="81"/>
    <n v="32.159999999999997"/>
    <n v="184.4"/>
    <n v="117"/>
    <n v="15.67"/>
    <n v="255.8"/>
    <n v="83"/>
    <n v="11.51"/>
    <x v="15"/>
    <x v="1"/>
    <x v="15"/>
    <x v="3"/>
    <x v="1"/>
  </r>
  <r>
    <s v="SD"/>
    <x v="83"/>
    <s v="area_code_510"/>
    <x v="0"/>
    <x v="1"/>
    <n v="0"/>
    <n v="196"/>
    <n v="135"/>
    <n v="33.32"/>
    <n v="186"/>
    <n v="146"/>
    <n v="15.81"/>
    <n v="153"/>
    <n v="92"/>
    <n v="6.89"/>
    <x v="52"/>
    <x v="8"/>
    <x v="52"/>
    <x v="3"/>
    <x v="0"/>
  </r>
  <r>
    <s v="VA"/>
    <x v="137"/>
    <s v="area_code_415"/>
    <x v="0"/>
    <x v="1"/>
    <n v="0"/>
    <n v="171.6"/>
    <n v="119"/>
    <n v="29.17"/>
    <n v="205"/>
    <n v="107"/>
    <n v="17.43"/>
    <n v="170.6"/>
    <n v="114"/>
    <n v="7.68"/>
    <x v="12"/>
    <x v="4"/>
    <x v="12"/>
    <x v="1"/>
    <x v="0"/>
  </r>
  <r>
    <s v="NY"/>
    <x v="1"/>
    <s v="area_code_415"/>
    <x v="1"/>
    <x v="1"/>
    <n v="0"/>
    <n v="174"/>
    <n v="123"/>
    <n v="29.58"/>
    <n v="161.30000000000001"/>
    <n v="115"/>
    <n v="13.71"/>
    <n v="260.7"/>
    <n v="98"/>
    <n v="11.73"/>
    <x v="37"/>
    <x v="0"/>
    <x v="37"/>
    <x v="2"/>
    <x v="0"/>
  </r>
  <r>
    <s v="WA"/>
    <x v="107"/>
    <s v="area_code_510"/>
    <x v="0"/>
    <x v="1"/>
    <n v="0"/>
    <n v="78.599999999999994"/>
    <n v="106"/>
    <n v="13.36"/>
    <n v="187.3"/>
    <n v="110"/>
    <n v="15.92"/>
    <n v="184.2"/>
    <n v="111"/>
    <n v="8.2899999999999991"/>
    <x v="33"/>
    <x v="1"/>
    <x v="33"/>
    <x v="0"/>
    <x v="1"/>
  </r>
  <r>
    <s v="WI"/>
    <x v="53"/>
    <s v="area_code_415"/>
    <x v="0"/>
    <x v="1"/>
    <n v="0"/>
    <n v="200.9"/>
    <n v="92"/>
    <n v="34.15"/>
    <n v="164.3"/>
    <n v="91"/>
    <n v="13.97"/>
    <n v="249"/>
    <n v="98"/>
    <n v="11.21"/>
    <x v="56"/>
    <x v="2"/>
    <x v="56"/>
    <x v="0"/>
    <x v="0"/>
  </r>
  <r>
    <s v="TN"/>
    <x v="78"/>
    <s v="area_code_415"/>
    <x v="0"/>
    <x v="1"/>
    <n v="0"/>
    <n v="141.30000000000001"/>
    <n v="123"/>
    <n v="24.02"/>
    <n v="253.6"/>
    <n v="87"/>
    <n v="21.56"/>
    <n v="215.8"/>
    <n v="96"/>
    <n v="9.7100000000000009"/>
    <x v="69"/>
    <x v="5"/>
    <x v="69"/>
    <x v="0"/>
    <x v="0"/>
  </r>
  <r>
    <s v="CT"/>
    <x v="108"/>
    <s v="area_code_415"/>
    <x v="0"/>
    <x v="1"/>
    <n v="0"/>
    <n v="235.8"/>
    <n v="130"/>
    <n v="40.090000000000003"/>
    <n v="176"/>
    <n v="69"/>
    <n v="14.96"/>
    <n v="63.6"/>
    <n v="122"/>
    <n v="2.86"/>
    <x v="48"/>
    <x v="8"/>
    <x v="48"/>
    <x v="2"/>
    <x v="0"/>
  </r>
  <r>
    <s v="WA"/>
    <x v="77"/>
    <s v="area_code_510"/>
    <x v="0"/>
    <x v="1"/>
    <n v="0"/>
    <n v="185.1"/>
    <n v="100"/>
    <n v="31.47"/>
    <n v="165.1"/>
    <n v="88"/>
    <n v="14.03"/>
    <n v="111.6"/>
    <n v="104"/>
    <n v="5.0199999999999996"/>
    <x v="21"/>
    <x v="4"/>
    <x v="21"/>
    <x v="3"/>
    <x v="0"/>
  </r>
  <r>
    <s v="NH"/>
    <x v="146"/>
    <s v="area_code_415"/>
    <x v="0"/>
    <x v="1"/>
    <n v="0"/>
    <n v="254.3"/>
    <n v="113"/>
    <n v="43.23"/>
    <n v="78.900000000000006"/>
    <n v="104"/>
    <n v="6.71"/>
    <n v="153.19999999999999"/>
    <n v="69"/>
    <n v="6.89"/>
    <x v="23"/>
    <x v="5"/>
    <x v="23"/>
    <x v="2"/>
    <x v="0"/>
  </r>
  <r>
    <s v="MT"/>
    <x v="38"/>
    <s v="area_code_510"/>
    <x v="0"/>
    <x v="1"/>
    <n v="0"/>
    <n v="183"/>
    <n v="103"/>
    <n v="31.11"/>
    <n v="214.8"/>
    <n v="77"/>
    <n v="18.260000000000002"/>
    <n v="206.4"/>
    <n v="73"/>
    <n v="9.2899999999999991"/>
    <x v="6"/>
    <x v="3"/>
    <x v="6"/>
    <x v="2"/>
    <x v="0"/>
  </r>
  <r>
    <s v="NE"/>
    <x v="121"/>
    <s v="area_code_415"/>
    <x v="0"/>
    <x v="0"/>
    <n v="29"/>
    <n v="163.5"/>
    <n v="80"/>
    <n v="27.8"/>
    <n v="274.8"/>
    <n v="136"/>
    <n v="23.36"/>
    <n v="381.9"/>
    <n v="147"/>
    <n v="17.190000000000001"/>
    <x v="4"/>
    <x v="1"/>
    <x v="4"/>
    <x v="2"/>
    <x v="0"/>
  </r>
  <r>
    <s v="WA"/>
    <x v="4"/>
    <s v="area_code_408"/>
    <x v="0"/>
    <x v="1"/>
    <n v="0"/>
    <n v="207.9"/>
    <n v="98"/>
    <n v="35.340000000000003"/>
    <n v="210.5"/>
    <n v="96"/>
    <n v="17.89"/>
    <n v="109.6"/>
    <n v="114"/>
    <n v="4.93"/>
    <x v="18"/>
    <x v="5"/>
    <x v="18"/>
    <x v="2"/>
    <x v="0"/>
  </r>
  <r>
    <s v="WI"/>
    <x v="116"/>
    <s v="area_code_415"/>
    <x v="0"/>
    <x v="1"/>
    <n v="0"/>
    <n v="248.6"/>
    <n v="102"/>
    <n v="42.26"/>
    <n v="174.9"/>
    <n v="93"/>
    <n v="14.87"/>
    <n v="207.2"/>
    <n v="86"/>
    <n v="9.32"/>
    <x v="49"/>
    <x v="0"/>
    <x v="49"/>
    <x v="3"/>
    <x v="0"/>
  </r>
  <r>
    <s v="AR"/>
    <x v="78"/>
    <s v="area_code_415"/>
    <x v="0"/>
    <x v="0"/>
    <n v="31"/>
    <n v="185.4"/>
    <n v="105"/>
    <n v="31.52"/>
    <n v="197.6"/>
    <n v="126"/>
    <n v="16.8"/>
    <n v="147.1"/>
    <n v="110"/>
    <n v="6.62"/>
    <x v="25"/>
    <x v="4"/>
    <x v="25"/>
    <x v="2"/>
    <x v="0"/>
  </r>
  <r>
    <s v="WI"/>
    <x v="97"/>
    <s v="area_code_408"/>
    <x v="0"/>
    <x v="1"/>
    <n v="0"/>
    <n v="197.8"/>
    <n v="60"/>
    <n v="33.630000000000003"/>
    <n v="221"/>
    <n v="64"/>
    <n v="18.79"/>
    <n v="168.6"/>
    <n v="134"/>
    <n v="7.59"/>
    <x v="56"/>
    <x v="1"/>
    <x v="56"/>
    <x v="0"/>
    <x v="0"/>
  </r>
  <r>
    <s v="DE"/>
    <x v="189"/>
    <s v="area_code_415"/>
    <x v="1"/>
    <x v="1"/>
    <n v="0"/>
    <n v="132.1"/>
    <n v="42"/>
    <n v="22.46"/>
    <n v="138.9"/>
    <n v="88"/>
    <n v="11.81"/>
    <n v="192.6"/>
    <n v="119"/>
    <n v="8.67"/>
    <x v="9"/>
    <x v="8"/>
    <x v="9"/>
    <x v="2"/>
    <x v="1"/>
  </r>
  <r>
    <s v="NH"/>
    <x v="18"/>
    <s v="area_code_510"/>
    <x v="0"/>
    <x v="1"/>
    <n v="0"/>
    <n v="197.1"/>
    <n v="117"/>
    <n v="33.51"/>
    <n v="227.8"/>
    <n v="128"/>
    <n v="19.36"/>
    <n v="214"/>
    <n v="101"/>
    <n v="9.6300000000000008"/>
    <x v="38"/>
    <x v="12"/>
    <x v="38"/>
    <x v="1"/>
    <x v="0"/>
  </r>
  <r>
    <s v="VA"/>
    <x v="98"/>
    <s v="area_code_415"/>
    <x v="0"/>
    <x v="1"/>
    <n v="0"/>
    <n v="154.6"/>
    <n v="112"/>
    <n v="26.28"/>
    <n v="184.2"/>
    <n v="105"/>
    <n v="15.66"/>
    <n v="217.4"/>
    <n v="102"/>
    <n v="9.7799999999999994"/>
    <x v="44"/>
    <x v="1"/>
    <x v="44"/>
    <x v="2"/>
    <x v="0"/>
  </r>
  <r>
    <s v="ID"/>
    <x v="71"/>
    <s v="area_code_415"/>
    <x v="0"/>
    <x v="1"/>
    <n v="0"/>
    <n v="96.8"/>
    <n v="92"/>
    <n v="16.46"/>
    <n v="142.6"/>
    <n v="103"/>
    <n v="12.12"/>
    <n v="210.1"/>
    <n v="115"/>
    <n v="9.4499999999999993"/>
    <x v="54"/>
    <x v="1"/>
    <x v="54"/>
    <x v="2"/>
    <x v="1"/>
  </r>
  <r>
    <s v="TN"/>
    <x v="113"/>
    <s v="area_code_510"/>
    <x v="0"/>
    <x v="1"/>
    <n v="0"/>
    <n v="172"/>
    <n v="145"/>
    <n v="29.24"/>
    <n v="276.39999999999998"/>
    <n v="101"/>
    <n v="23.49"/>
    <n v="193.7"/>
    <n v="100"/>
    <n v="8.7200000000000006"/>
    <x v="3"/>
    <x v="6"/>
    <x v="3"/>
    <x v="0"/>
    <x v="0"/>
  </r>
  <r>
    <s v="MT"/>
    <x v="87"/>
    <s v="area_code_408"/>
    <x v="0"/>
    <x v="0"/>
    <n v="29"/>
    <n v="151.1"/>
    <n v="121"/>
    <n v="25.69"/>
    <n v="244.7"/>
    <n v="88"/>
    <n v="20.8"/>
    <n v="154.4"/>
    <n v="91"/>
    <n v="6.95"/>
    <x v="12"/>
    <x v="5"/>
    <x v="12"/>
    <x v="2"/>
    <x v="0"/>
  </r>
  <r>
    <s v="OK"/>
    <x v="116"/>
    <s v="area_code_408"/>
    <x v="0"/>
    <x v="1"/>
    <n v="0"/>
    <n v="209.6"/>
    <n v="107"/>
    <n v="35.630000000000003"/>
    <n v="228.8"/>
    <n v="96"/>
    <n v="19.45"/>
    <n v="172.4"/>
    <n v="85"/>
    <n v="7.76"/>
    <x v="98"/>
    <x v="5"/>
    <x v="98"/>
    <x v="3"/>
    <x v="0"/>
  </r>
  <r>
    <s v="ID"/>
    <x v="11"/>
    <s v="area_code_415"/>
    <x v="0"/>
    <x v="0"/>
    <n v="32"/>
    <n v="247"/>
    <n v="109"/>
    <n v="41.99"/>
    <n v="125.6"/>
    <n v="91"/>
    <n v="10.68"/>
    <n v="226.5"/>
    <n v="90"/>
    <n v="10.19"/>
    <x v="26"/>
    <x v="4"/>
    <x v="26"/>
    <x v="3"/>
    <x v="0"/>
  </r>
  <r>
    <s v="NV"/>
    <x v="190"/>
    <s v="area_code_408"/>
    <x v="0"/>
    <x v="0"/>
    <n v="30"/>
    <n v="221.4"/>
    <n v="114"/>
    <n v="37.64"/>
    <n v="165.8"/>
    <n v="116"/>
    <n v="14.09"/>
    <n v="247"/>
    <n v="105"/>
    <n v="11.12"/>
    <x v="81"/>
    <x v="14"/>
    <x v="81"/>
    <x v="0"/>
    <x v="0"/>
  </r>
  <r>
    <s v="KS"/>
    <x v="49"/>
    <s v="area_code_408"/>
    <x v="0"/>
    <x v="1"/>
    <n v="0"/>
    <n v="321.3"/>
    <n v="99"/>
    <n v="54.62"/>
    <n v="167.9"/>
    <n v="93"/>
    <n v="14.27"/>
    <n v="193.6"/>
    <n v="106"/>
    <n v="8.7100000000000009"/>
    <x v="40"/>
    <x v="4"/>
    <x v="40"/>
    <x v="0"/>
    <x v="1"/>
  </r>
  <r>
    <s v="WY"/>
    <x v="144"/>
    <s v="area_code_415"/>
    <x v="0"/>
    <x v="1"/>
    <n v="0"/>
    <n v="243.7"/>
    <n v="124"/>
    <n v="41.43"/>
    <n v="60"/>
    <n v="90"/>
    <n v="5.0999999999999996"/>
    <n v="189"/>
    <n v="129"/>
    <n v="8.5"/>
    <x v="61"/>
    <x v="5"/>
    <x v="61"/>
    <x v="1"/>
    <x v="0"/>
  </r>
  <r>
    <s v="MS"/>
    <x v="146"/>
    <s v="area_code_415"/>
    <x v="0"/>
    <x v="1"/>
    <n v="0"/>
    <n v="251.5"/>
    <n v="85"/>
    <n v="42.76"/>
    <n v="214.2"/>
    <n v="98"/>
    <n v="18.21"/>
    <n v="186.1"/>
    <n v="71"/>
    <n v="8.3699999999999992"/>
    <x v="22"/>
    <x v="3"/>
    <x v="22"/>
    <x v="3"/>
    <x v="0"/>
  </r>
  <r>
    <s v="WY"/>
    <x v="35"/>
    <s v="area_code_510"/>
    <x v="1"/>
    <x v="1"/>
    <n v="0"/>
    <n v="236.9"/>
    <n v="107"/>
    <n v="40.270000000000003"/>
    <n v="157.6"/>
    <n v="105"/>
    <n v="13.4"/>
    <n v="241"/>
    <n v="120"/>
    <n v="10.85"/>
    <x v="48"/>
    <x v="5"/>
    <x v="48"/>
    <x v="1"/>
    <x v="1"/>
  </r>
  <r>
    <s v="TX"/>
    <x v="159"/>
    <s v="area_code_415"/>
    <x v="0"/>
    <x v="1"/>
    <n v="0"/>
    <n v="159.69999999999999"/>
    <n v="79"/>
    <n v="27.15"/>
    <n v="216.7"/>
    <n v="131"/>
    <n v="18.420000000000002"/>
    <n v="206.7"/>
    <n v="116"/>
    <n v="9.3000000000000007"/>
    <x v="38"/>
    <x v="0"/>
    <x v="38"/>
    <x v="2"/>
    <x v="0"/>
  </r>
  <r>
    <s v="WA"/>
    <x v="53"/>
    <s v="area_code_415"/>
    <x v="1"/>
    <x v="1"/>
    <n v="0"/>
    <n v="148.19999999999999"/>
    <n v="96"/>
    <n v="25.19"/>
    <n v="220.4"/>
    <n v="111"/>
    <n v="18.73"/>
    <n v="134.19999999999999"/>
    <n v="97"/>
    <n v="6.04"/>
    <x v="29"/>
    <x v="8"/>
    <x v="29"/>
    <x v="4"/>
    <x v="1"/>
  </r>
  <r>
    <s v="HI"/>
    <x v="151"/>
    <s v="area_code_408"/>
    <x v="0"/>
    <x v="1"/>
    <n v="0"/>
    <n v="150.9"/>
    <n v="86"/>
    <n v="25.65"/>
    <n v="268.60000000000002"/>
    <n v="129"/>
    <n v="22.83"/>
    <n v="179.9"/>
    <n v="73"/>
    <n v="8.1"/>
    <x v="20"/>
    <x v="8"/>
    <x v="20"/>
    <x v="0"/>
    <x v="0"/>
  </r>
  <r>
    <s v="IL"/>
    <x v="156"/>
    <s v="area_code_415"/>
    <x v="0"/>
    <x v="0"/>
    <n v="28"/>
    <n v="210.5"/>
    <n v="101"/>
    <n v="35.79"/>
    <n v="250.5"/>
    <n v="86"/>
    <n v="21.29"/>
    <n v="241.6"/>
    <n v="125"/>
    <n v="10.87"/>
    <x v="73"/>
    <x v="5"/>
    <x v="73"/>
    <x v="0"/>
    <x v="0"/>
  </r>
  <r>
    <s v="MD"/>
    <x v="15"/>
    <s v="area_code_510"/>
    <x v="0"/>
    <x v="1"/>
    <n v="0"/>
    <n v="254.7"/>
    <n v="80"/>
    <n v="43.3"/>
    <n v="90.2"/>
    <n v="79"/>
    <n v="7.67"/>
    <n v="153.4"/>
    <n v="60"/>
    <n v="6.9"/>
    <x v="15"/>
    <x v="10"/>
    <x v="15"/>
    <x v="1"/>
    <x v="0"/>
  </r>
  <r>
    <s v="MA"/>
    <x v="18"/>
    <s v="area_code_415"/>
    <x v="0"/>
    <x v="1"/>
    <n v="0"/>
    <n v="284.39999999999998"/>
    <n v="89"/>
    <n v="48.35"/>
    <n v="157"/>
    <n v="113"/>
    <n v="13.35"/>
    <n v="242.8"/>
    <n v="91"/>
    <n v="10.93"/>
    <x v="80"/>
    <x v="10"/>
    <x v="80"/>
    <x v="1"/>
    <x v="1"/>
  </r>
  <r>
    <s v="SD"/>
    <x v="28"/>
    <s v="area_code_415"/>
    <x v="0"/>
    <x v="1"/>
    <n v="0"/>
    <n v="0"/>
    <n v="0"/>
    <n v="0"/>
    <n v="159.6"/>
    <n v="130"/>
    <n v="13.57"/>
    <n v="167.1"/>
    <n v="88"/>
    <n v="7.52"/>
    <x v="36"/>
    <x v="8"/>
    <x v="36"/>
    <x v="4"/>
    <x v="1"/>
  </r>
  <r>
    <s v="PA"/>
    <x v="96"/>
    <s v="area_code_408"/>
    <x v="1"/>
    <x v="1"/>
    <n v="0"/>
    <n v="133.69999999999999"/>
    <n v="45"/>
    <n v="22.73"/>
    <n v="187.8"/>
    <n v="107"/>
    <n v="15.96"/>
    <n v="181.9"/>
    <n v="89"/>
    <n v="8.19"/>
    <x v="85"/>
    <x v="5"/>
    <x v="85"/>
    <x v="0"/>
    <x v="1"/>
  </r>
  <r>
    <s v="NC"/>
    <x v="18"/>
    <s v="area_code_408"/>
    <x v="0"/>
    <x v="1"/>
    <n v="0"/>
    <n v="224.9"/>
    <n v="117"/>
    <n v="38.229999999999997"/>
    <n v="191.9"/>
    <n v="127"/>
    <n v="16.309999999999999"/>
    <n v="229.9"/>
    <n v="97"/>
    <n v="10.35"/>
    <x v="19"/>
    <x v="0"/>
    <x v="19"/>
    <x v="1"/>
    <x v="0"/>
  </r>
  <r>
    <s v="VT"/>
    <x v="33"/>
    <s v="area_code_408"/>
    <x v="0"/>
    <x v="1"/>
    <n v="0"/>
    <n v="151.80000000000001"/>
    <n v="98"/>
    <n v="25.81"/>
    <n v="209.9"/>
    <n v="92"/>
    <n v="17.84"/>
    <n v="266.89999999999998"/>
    <n v="86"/>
    <n v="12.01"/>
    <x v="78"/>
    <x v="1"/>
    <x v="78"/>
    <x v="0"/>
    <x v="0"/>
  </r>
  <r>
    <s v="KY"/>
    <x v="144"/>
    <s v="area_code_510"/>
    <x v="0"/>
    <x v="0"/>
    <n v="22"/>
    <n v="141.4"/>
    <n v="107"/>
    <n v="24.04"/>
    <n v="163"/>
    <n v="105"/>
    <n v="13.86"/>
    <n v="220"/>
    <n v="99"/>
    <n v="9.9"/>
    <x v="113"/>
    <x v="0"/>
    <x v="113"/>
    <x v="2"/>
    <x v="0"/>
  </r>
  <r>
    <s v="WA"/>
    <x v="132"/>
    <s v="area_code_408"/>
    <x v="0"/>
    <x v="1"/>
    <n v="0"/>
    <n v="285.7"/>
    <n v="124"/>
    <n v="48.57"/>
    <n v="230.9"/>
    <n v="106"/>
    <n v="19.63"/>
    <n v="230.7"/>
    <n v="140"/>
    <n v="10.38"/>
    <x v="102"/>
    <x v="2"/>
    <x v="102"/>
    <x v="1"/>
    <x v="1"/>
  </r>
  <r>
    <s v="LA"/>
    <x v="163"/>
    <s v="area_code_415"/>
    <x v="0"/>
    <x v="1"/>
    <n v="0"/>
    <n v="58.4"/>
    <n v="121"/>
    <n v="9.93"/>
    <n v="262.2"/>
    <n v="64"/>
    <n v="22.29"/>
    <n v="159"/>
    <n v="115"/>
    <n v="7.15"/>
    <x v="78"/>
    <x v="1"/>
    <x v="78"/>
    <x v="0"/>
    <x v="0"/>
  </r>
  <r>
    <s v="WA"/>
    <x v="27"/>
    <s v="area_code_415"/>
    <x v="0"/>
    <x v="0"/>
    <n v="16"/>
    <n v="90.4"/>
    <n v="105"/>
    <n v="15.37"/>
    <n v="201.3"/>
    <n v="109"/>
    <n v="17.11"/>
    <n v="227.1"/>
    <n v="115"/>
    <n v="10.220000000000001"/>
    <x v="67"/>
    <x v="4"/>
    <x v="67"/>
    <x v="1"/>
    <x v="0"/>
  </r>
  <r>
    <s v="ME"/>
    <x v="106"/>
    <s v="area_code_408"/>
    <x v="0"/>
    <x v="1"/>
    <n v="0"/>
    <n v="114.4"/>
    <n v="91"/>
    <n v="19.45"/>
    <n v="216.6"/>
    <n v="123"/>
    <n v="18.41"/>
    <n v="250.6"/>
    <n v="102"/>
    <n v="11.28"/>
    <x v="34"/>
    <x v="0"/>
    <x v="34"/>
    <x v="1"/>
    <x v="0"/>
  </r>
  <r>
    <s v="WI"/>
    <x v="102"/>
    <s v="area_code_408"/>
    <x v="0"/>
    <x v="1"/>
    <n v="0"/>
    <n v="147.69999999999999"/>
    <n v="103"/>
    <n v="25.11"/>
    <n v="222.7"/>
    <n v="78"/>
    <n v="18.93"/>
    <n v="163.5"/>
    <n v="102"/>
    <n v="7.36"/>
    <x v="75"/>
    <x v="0"/>
    <x v="75"/>
    <x v="2"/>
    <x v="0"/>
  </r>
  <r>
    <s v="TX"/>
    <x v="54"/>
    <s v="area_code_408"/>
    <x v="0"/>
    <x v="0"/>
    <n v="31"/>
    <n v="302.7"/>
    <n v="93"/>
    <n v="51.46"/>
    <n v="240.5"/>
    <n v="119"/>
    <n v="20.440000000000001"/>
    <n v="193.9"/>
    <n v="103"/>
    <n v="8.73"/>
    <x v="109"/>
    <x v="17"/>
    <x v="109"/>
    <x v="3"/>
    <x v="0"/>
  </r>
  <r>
    <s v="AZ"/>
    <x v="35"/>
    <s v="area_code_408"/>
    <x v="0"/>
    <x v="1"/>
    <n v="0"/>
    <n v="169.7"/>
    <n v="84"/>
    <n v="28.85"/>
    <n v="165.9"/>
    <n v="86"/>
    <n v="14.1"/>
    <n v="191.9"/>
    <n v="83"/>
    <n v="8.64"/>
    <x v="75"/>
    <x v="3"/>
    <x v="75"/>
    <x v="3"/>
    <x v="0"/>
  </r>
  <r>
    <s v="ND"/>
    <x v="97"/>
    <s v="area_code_510"/>
    <x v="0"/>
    <x v="1"/>
    <n v="0"/>
    <n v="227.2"/>
    <n v="89"/>
    <n v="38.619999999999997"/>
    <n v="194.4"/>
    <n v="106"/>
    <n v="16.52"/>
    <n v="243.4"/>
    <n v="126"/>
    <n v="10.95"/>
    <x v="130"/>
    <x v="5"/>
    <x v="130"/>
    <x v="1"/>
    <x v="0"/>
  </r>
  <r>
    <s v="VT"/>
    <x v="15"/>
    <s v="area_code_415"/>
    <x v="0"/>
    <x v="1"/>
    <n v="0"/>
    <n v="217.8"/>
    <n v="91"/>
    <n v="37.03"/>
    <n v="220.6"/>
    <n v="97"/>
    <n v="18.75"/>
    <n v="277.3"/>
    <n v="89"/>
    <n v="12.48"/>
    <x v="19"/>
    <x v="3"/>
    <x v="19"/>
    <x v="0"/>
    <x v="1"/>
  </r>
  <r>
    <s v="HI"/>
    <x v="104"/>
    <s v="area_code_415"/>
    <x v="0"/>
    <x v="1"/>
    <n v="0"/>
    <n v="124.2"/>
    <n v="102"/>
    <n v="21.11"/>
    <n v="123.9"/>
    <n v="115"/>
    <n v="10.53"/>
    <n v="135.69999999999999"/>
    <n v="100"/>
    <n v="6.11"/>
    <x v="67"/>
    <x v="10"/>
    <x v="67"/>
    <x v="2"/>
    <x v="0"/>
  </r>
  <r>
    <s v="WY"/>
    <x v="32"/>
    <s v="area_code_415"/>
    <x v="0"/>
    <x v="1"/>
    <n v="0"/>
    <n v="206.2"/>
    <n v="76"/>
    <n v="35.049999999999997"/>
    <n v="232.4"/>
    <n v="76"/>
    <n v="19.75"/>
    <n v="251.6"/>
    <n v="96"/>
    <n v="11.32"/>
    <x v="109"/>
    <x v="5"/>
    <x v="109"/>
    <x v="0"/>
    <x v="0"/>
  </r>
  <r>
    <s v="WV"/>
    <x v="69"/>
    <s v="area_code_510"/>
    <x v="0"/>
    <x v="1"/>
    <n v="0"/>
    <n v="132.9"/>
    <n v="122"/>
    <n v="22.59"/>
    <n v="67"/>
    <n v="62"/>
    <n v="5.7"/>
    <n v="160.4"/>
    <n v="121"/>
    <n v="7.22"/>
    <x v="79"/>
    <x v="5"/>
    <x v="79"/>
    <x v="3"/>
    <x v="0"/>
  </r>
  <r>
    <s v="OK"/>
    <x v="6"/>
    <s v="area_code_415"/>
    <x v="0"/>
    <x v="0"/>
    <n v="31"/>
    <n v="104.9"/>
    <n v="115"/>
    <n v="17.829999999999998"/>
    <n v="237.6"/>
    <n v="125"/>
    <n v="20.2"/>
    <n v="263.39999999999998"/>
    <n v="104"/>
    <n v="11.85"/>
    <x v="18"/>
    <x v="3"/>
    <x v="18"/>
    <x v="3"/>
    <x v="0"/>
  </r>
  <r>
    <s v="CT"/>
    <x v="85"/>
    <s v="area_code_415"/>
    <x v="0"/>
    <x v="1"/>
    <n v="0"/>
    <n v="245"/>
    <n v="97"/>
    <n v="41.65"/>
    <n v="250.7"/>
    <n v="75"/>
    <n v="21.31"/>
    <n v="270.2"/>
    <n v="124"/>
    <n v="12.16"/>
    <x v="0"/>
    <x v="10"/>
    <x v="0"/>
    <x v="0"/>
    <x v="1"/>
  </r>
  <r>
    <s v="UT"/>
    <x v="52"/>
    <s v="area_code_408"/>
    <x v="0"/>
    <x v="1"/>
    <n v="0"/>
    <n v="184.5"/>
    <n v="118"/>
    <n v="31.37"/>
    <n v="224"/>
    <n v="95"/>
    <n v="19.04"/>
    <n v="180.5"/>
    <n v="82"/>
    <n v="8.1199999999999992"/>
    <x v="43"/>
    <x v="0"/>
    <x v="43"/>
    <x v="0"/>
    <x v="0"/>
  </r>
  <r>
    <s v="NY"/>
    <x v="121"/>
    <s v="area_code_415"/>
    <x v="0"/>
    <x v="1"/>
    <n v="0"/>
    <n v="89.5"/>
    <n v="66"/>
    <n v="15.22"/>
    <n v="179.3"/>
    <n v="104"/>
    <n v="15.24"/>
    <n v="225.1"/>
    <n v="116"/>
    <n v="10.130000000000001"/>
    <x v="10"/>
    <x v="8"/>
    <x v="10"/>
    <x v="3"/>
    <x v="0"/>
  </r>
  <r>
    <s v="VA"/>
    <x v="60"/>
    <s v="area_code_415"/>
    <x v="1"/>
    <x v="1"/>
    <n v="0"/>
    <n v="235.6"/>
    <n v="131"/>
    <n v="40.049999999999997"/>
    <n v="194.8"/>
    <n v="107"/>
    <n v="16.559999999999999"/>
    <n v="170.6"/>
    <n v="93"/>
    <n v="7.68"/>
    <x v="53"/>
    <x v="4"/>
    <x v="53"/>
    <x v="0"/>
    <x v="0"/>
  </r>
  <r>
    <s v="VT"/>
    <x v="131"/>
    <s v="area_code_408"/>
    <x v="0"/>
    <x v="1"/>
    <n v="0"/>
    <n v="186"/>
    <n v="127"/>
    <n v="31.62"/>
    <n v="262.3"/>
    <n v="96"/>
    <n v="22.3"/>
    <n v="98.9"/>
    <n v="63"/>
    <n v="4.45"/>
    <x v="73"/>
    <x v="3"/>
    <x v="73"/>
    <x v="4"/>
    <x v="0"/>
  </r>
  <r>
    <s v="SD"/>
    <x v="112"/>
    <s v="area_code_415"/>
    <x v="0"/>
    <x v="1"/>
    <n v="0"/>
    <n v="223.9"/>
    <n v="75"/>
    <n v="38.06"/>
    <n v="155.69999999999999"/>
    <n v="109"/>
    <n v="13.23"/>
    <n v="150.19999999999999"/>
    <n v="143"/>
    <n v="6.76"/>
    <x v="48"/>
    <x v="6"/>
    <x v="48"/>
    <x v="0"/>
    <x v="0"/>
  </r>
  <r>
    <s v="PA"/>
    <x v="39"/>
    <s v="area_code_510"/>
    <x v="0"/>
    <x v="1"/>
    <n v="0"/>
    <n v="179.5"/>
    <n v="125"/>
    <n v="30.52"/>
    <n v="162.30000000000001"/>
    <n v="139"/>
    <n v="13.8"/>
    <n v="264.5"/>
    <n v="133"/>
    <n v="11.9"/>
    <x v="2"/>
    <x v="5"/>
    <x v="2"/>
    <x v="0"/>
    <x v="0"/>
  </r>
  <r>
    <s v="ND"/>
    <x v="151"/>
    <s v="area_code_415"/>
    <x v="0"/>
    <x v="1"/>
    <n v="0"/>
    <n v="169.4"/>
    <n v="102"/>
    <n v="28.8"/>
    <n v="253.5"/>
    <n v="113"/>
    <n v="21.55"/>
    <n v="197.1"/>
    <n v="93"/>
    <n v="8.8699999999999992"/>
    <x v="56"/>
    <x v="1"/>
    <x v="56"/>
    <x v="0"/>
    <x v="0"/>
  </r>
  <r>
    <s v="CT"/>
    <x v="62"/>
    <s v="area_code_408"/>
    <x v="0"/>
    <x v="1"/>
    <n v="0"/>
    <n v="118.1"/>
    <n v="90"/>
    <n v="20.079999999999998"/>
    <n v="144.30000000000001"/>
    <n v="77"/>
    <n v="12.27"/>
    <n v="225.1"/>
    <n v="86"/>
    <n v="10.130000000000001"/>
    <x v="45"/>
    <x v="3"/>
    <x v="45"/>
    <x v="0"/>
    <x v="0"/>
  </r>
  <r>
    <s v="SC"/>
    <x v="65"/>
    <s v="area_code_415"/>
    <x v="0"/>
    <x v="1"/>
    <n v="0"/>
    <n v="112"/>
    <n v="105"/>
    <n v="19.04"/>
    <n v="193.7"/>
    <n v="110"/>
    <n v="16.46"/>
    <n v="208.9"/>
    <n v="93"/>
    <n v="9.4"/>
    <x v="119"/>
    <x v="4"/>
    <x v="119"/>
    <x v="4"/>
    <x v="1"/>
  </r>
  <r>
    <s v="MI"/>
    <x v="35"/>
    <s v="area_code_408"/>
    <x v="0"/>
    <x v="0"/>
    <n v="32"/>
    <n v="168.4"/>
    <n v="129"/>
    <n v="28.63"/>
    <n v="225.9"/>
    <n v="97"/>
    <n v="19.2"/>
    <n v="191.8"/>
    <n v="95"/>
    <n v="8.6300000000000008"/>
    <x v="31"/>
    <x v="2"/>
    <x v="31"/>
    <x v="1"/>
    <x v="0"/>
  </r>
  <r>
    <s v="VT"/>
    <x v="2"/>
    <s v="area_code_415"/>
    <x v="0"/>
    <x v="0"/>
    <n v="42"/>
    <n v="214.3"/>
    <n v="112"/>
    <n v="36.43"/>
    <n v="188.2"/>
    <n v="107"/>
    <n v="16"/>
    <n v="333.5"/>
    <n v="117"/>
    <n v="15.01"/>
    <x v="61"/>
    <x v="11"/>
    <x v="61"/>
    <x v="1"/>
    <x v="0"/>
  </r>
  <r>
    <s v="OH"/>
    <x v="8"/>
    <s v="area_code_415"/>
    <x v="0"/>
    <x v="1"/>
    <n v="0"/>
    <n v="245.7"/>
    <n v="139"/>
    <n v="41.77"/>
    <n v="241.9"/>
    <n v="113"/>
    <n v="20.56"/>
    <n v="285.3"/>
    <n v="117"/>
    <n v="12.84"/>
    <x v="134"/>
    <x v="1"/>
    <x v="134"/>
    <x v="4"/>
    <x v="1"/>
  </r>
  <r>
    <s v="IL"/>
    <x v="142"/>
    <s v="area_code_415"/>
    <x v="1"/>
    <x v="0"/>
    <n v="43"/>
    <n v="142.80000000000001"/>
    <n v="96"/>
    <n v="24.28"/>
    <n v="272.3"/>
    <n v="100"/>
    <n v="23.15"/>
    <n v="193.4"/>
    <n v="105"/>
    <n v="8.6999999999999993"/>
    <x v="56"/>
    <x v="4"/>
    <x v="56"/>
    <x v="0"/>
    <x v="0"/>
  </r>
  <r>
    <s v="MO"/>
    <x v="25"/>
    <s v="area_code_415"/>
    <x v="0"/>
    <x v="1"/>
    <n v="0"/>
    <n v="202.4"/>
    <n v="115"/>
    <n v="34.409999999999997"/>
    <n v="230.7"/>
    <n v="115"/>
    <n v="19.61"/>
    <n v="202"/>
    <n v="127"/>
    <n v="9.09"/>
    <x v="39"/>
    <x v="5"/>
    <x v="39"/>
    <x v="3"/>
    <x v="0"/>
  </r>
  <r>
    <s v="WI"/>
    <x v="21"/>
    <s v="area_code_415"/>
    <x v="0"/>
    <x v="1"/>
    <n v="0"/>
    <n v="116.8"/>
    <n v="119"/>
    <n v="19.86"/>
    <n v="123.1"/>
    <n v="123"/>
    <n v="10.46"/>
    <n v="217.5"/>
    <n v="101"/>
    <n v="9.7899999999999991"/>
    <x v="42"/>
    <x v="5"/>
    <x v="42"/>
    <x v="0"/>
    <x v="0"/>
  </r>
  <r>
    <s v="NJ"/>
    <x v="107"/>
    <s v="area_code_510"/>
    <x v="0"/>
    <x v="1"/>
    <n v="0"/>
    <n v="155.69999999999999"/>
    <n v="110"/>
    <n v="26.47"/>
    <n v="260.3"/>
    <n v="103"/>
    <n v="22.13"/>
    <n v="192.2"/>
    <n v="98"/>
    <n v="8.65"/>
    <x v="34"/>
    <x v="8"/>
    <x v="34"/>
    <x v="0"/>
    <x v="0"/>
  </r>
  <r>
    <s v="VT"/>
    <x v="145"/>
    <s v="area_code_415"/>
    <x v="0"/>
    <x v="0"/>
    <n v="21"/>
    <n v="138.1"/>
    <n v="113"/>
    <n v="23.48"/>
    <n v="260.10000000000002"/>
    <n v="83"/>
    <n v="22.11"/>
    <n v="135.4"/>
    <n v="118"/>
    <n v="6.09"/>
    <x v="45"/>
    <x v="5"/>
    <x v="45"/>
    <x v="2"/>
    <x v="0"/>
  </r>
  <r>
    <s v="CT"/>
    <x v="7"/>
    <s v="area_code_408"/>
    <x v="0"/>
    <x v="1"/>
    <n v="0"/>
    <n v="51.9"/>
    <n v="108"/>
    <n v="8.82"/>
    <n v="162"/>
    <n v="83"/>
    <n v="13.77"/>
    <n v="223.5"/>
    <n v="115"/>
    <n v="10.06"/>
    <x v="3"/>
    <x v="0"/>
    <x v="3"/>
    <x v="3"/>
    <x v="0"/>
  </r>
  <r>
    <s v="SD"/>
    <x v="22"/>
    <s v="area_code_415"/>
    <x v="0"/>
    <x v="0"/>
    <n v="35"/>
    <n v="171.5"/>
    <n v="98"/>
    <n v="29.16"/>
    <n v="153.1"/>
    <n v="127"/>
    <n v="13.01"/>
    <n v="165.6"/>
    <n v="125"/>
    <n v="7.45"/>
    <x v="5"/>
    <x v="0"/>
    <x v="5"/>
    <x v="1"/>
    <x v="0"/>
  </r>
  <r>
    <s v="OH"/>
    <x v="60"/>
    <s v="area_code_510"/>
    <x v="0"/>
    <x v="1"/>
    <n v="0"/>
    <n v="194.1"/>
    <n v="62"/>
    <n v="33"/>
    <n v="227.2"/>
    <n v="54"/>
    <n v="19.309999999999999"/>
    <n v="190.4"/>
    <n v="115"/>
    <n v="8.57"/>
    <x v="107"/>
    <x v="4"/>
    <x v="107"/>
    <x v="0"/>
    <x v="0"/>
  </r>
  <r>
    <s v="NY"/>
    <x v="46"/>
    <s v="area_code_510"/>
    <x v="0"/>
    <x v="1"/>
    <n v="0"/>
    <n v="115.7"/>
    <n v="105"/>
    <n v="19.670000000000002"/>
    <n v="127.8"/>
    <n v="113"/>
    <n v="10.86"/>
    <n v="107.5"/>
    <n v="91"/>
    <n v="4.84"/>
    <x v="38"/>
    <x v="3"/>
    <x v="38"/>
    <x v="0"/>
    <x v="0"/>
  </r>
  <r>
    <s v="OK"/>
    <x v="116"/>
    <s v="area_code_415"/>
    <x v="0"/>
    <x v="1"/>
    <n v="0"/>
    <n v="269.7"/>
    <n v="85"/>
    <n v="45.85"/>
    <n v="207.6"/>
    <n v="86"/>
    <n v="17.649999999999999"/>
    <n v="214.2"/>
    <n v="107"/>
    <n v="9.64"/>
    <x v="141"/>
    <x v="9"/>
    <x v="141"/>
    <x v="3"/>
    <x v="1"/>
  </r>
  <r>
    <s v="NC"/>
    <x v="95"/>
    <s v="area_code_415"/>
    <x v="0"/>
    <x v="1"/>
    <n v="0"/>
    <n v="246.4"/>
    <n v="107"/>
    <n v="41.89"/>
    <n v="228.1"/>
    <n v="124"/>
    <n v="19.39"/>
    <n v="166.4"/>
    <n v="95"/>
    <n v="7.49"/>
    <x v="9"/>
    <x v="10"/>
    <x v="9"/>
    <x v="1"/>
    <x v="0"/>
  </r>
  <r>
    <s v="HI"/>
    <x v="102"/>
    <s v="area_code_510"/>
    <x v="0"/>
    <x v="1"/>
    <n v="0"/>
    <n v="227.4"/>
    <n v="121"/>
    <n v="38.659999999999997"/>
    <n v="268.5"/>
    <n v="89"/>
    <n v="22.82"/>
    <n v="143.30000000000001"/>
    <n v="82"/>
    <n v="6.45"/>
    <x v="14"/>
    <x v="4"/>
    <x v="14"/>
    <x v="0"/>
    <x v="0"/>
  </r>
  <r>
    <s v="UT"/>
    <x v="78"/>
    <s v="area_code_415"/>
    <x v="0"/>
    <x v="1"/>
    <n v="0"/>
    <n v="189.8"/>
    <n v="110"/>
    <n v="32.270000000000003"/>
    <n v="115.5"/>
    <n v="83"/>
    <n v="9.82"/>
    <n v="191.3"/>
    <n v="103"/>
    <n v="8.61"/>
    <x v="1"/>
    <x v="4"/>
    <x v="1"/>
    <x v="1"/>
    <x v="0"/>
  </r>
  <r>
    <s v="MD"/>
    <x v="141"/>
    <s v="area_code_415"/>
    <x v="1"/>
    <x v="0"/>
    <n v="27"/>
    <n v="188.9"/>
    <n v="124"/>
    <n v="32.11"/>
    <n v="160.9"/>
    <n v="102"/>
    <n v="13.68"/>
    <n v="197.7"/>
    <n v="100"/>
    <n v="8.9"/>
    <x v="73"/>
    <x v="1"/>
    <x v="73"/>
    <x v="4"/>
    <x v="0"/>
  </r>
  <r>
    <s v="VT"/>
    <x v="116"/>
    <s v="area_code_510"/>
    <x v="0"/>
    <x v="1"/>
    <n v="0"/>
    <n v="0"/>
    <n v="0"/>
    <n v="0"/>
    <n v="192.1"/>
    <n v="119"/>
    <n v="16.329999999999998"/>
    <n v="168.8"/>
    <n v="95"/>
    <n v="7.6"/>
    <x v="68"/>
    <x v="4"/>
    <x v="68"/>
    <x v="0"/>
    <x v="0"/>
  </r>
  <r>
    <s v="TX"/>
    <x v="28"/>
    <s v="area_code_408"/>
    <x v="0"/>
    <x v="0"/>
    <n v="19"/>
    <n v="110.5"/>
    <n v="87"/>
    <n v="18.79"/>
    <n v="227.8"/>
    <n v="97"/>
    <n v="19.36"/>
    <n v="243.6"/>
    <n v="84"/>
    <n v="10.96"/>
    <x v="34"/>
    <x v="4"/>
    <x v="34"/>
    <x v="0"/>
    <x v="0"/>
  </r>
  <r>
    <s v="AZ"/>
    <x v="130"/>
    <s v="area_code_408"/>
    <x v="0"/>
    <x v="1"/>
    <n v="0"/>
    <n v="167.6"/>
    <n v="116"/>
    <n v="28.49"/>
    <n v="219.2"/>
    <n v="112"/>
    <n v="18.63"/>
    <n v="215.9"/>
    <n v="94"/>
    <n v="9.7200000000000006"/>
    <x v="50"/>
    <x v="5"/>
    <x v="50"/>
    <x v="4"/>
    <x v="0"/>
  </r>
  <r>
    <s v="VA"/>
    <x v="85"/>
    <s v="area_code_415"/>
    <x v="0"/>
    <x v="1"/>
    <n v="0"/>
    <n v="132"/>
    <n v="90"/>
    <n v="22.44"/>
    <n v="197.5"/>
    <n v="75"/>
    <n v="16.79"/>
    <n v="175.8"/>
    <n v="114"/>
    <n v="7.91"/>
    <x v="77"/>
    <x v="13"/>
    <x v="77"/>
    <x v="3"/>
    <x v="0"/>
  </r>
  <r>
    <s v="NE"/>
    <x v="58"/>
    <s v="area_code_415"/>
    <x v="0"/>
    <x v="1"/>
    <n v="0"/>
    <n v="213.4"/>
    <n v="86"/>
    <n v="36.28"/>
    <n v="204.7"/>
    <n v="77"/>
    <n v="17.399999999999999"/>
    <n v="256.60000000000002"/>
    <n v="101"/>
    <n v="11.55"/>
    <x v="16"/>
    <x v="4"/>
    <x v="16"/>
    <x v="0"/>
    <x v="0"/>
  </r>
  <r>
    <s v="KY"/>
    <x v="49"/>
    <s v="area_code_510"/>
    <x v="0"/>
    <x v="1"/>
    <n v="0"/>
    <n v="175.4"/>
    <n v="120"/>
    <n v="29.82"/>
    <n v="98.3"/>
    <n v="71"/>
    <n v="8.36"/>
    <n v="201.9"/>
    <n v="93"/>
    <n v="9.09"/>
    <x v="15"/>
    <x v="8"/>
    <x v="15"/>
    <x v="1"/>
    <x v="0"/>
  </r>
  <r>
    <s v="NV"/>
    <x v="137"/>
    <s v="area_code_510"/>
    <x v="0"/>
    <x v="0"/>
    <n v="39"/>
    <n v="82.6"/>
    <n v="113"/>
    <n v="14.04"/>
    <n v="224.4"/>
    <n v="63"/>
    <n v="19.07"/>
    <n v="163.6"/>
    <n v="88"/>
    <n v="7.36"/>
    <x v="17"/>
    <x v="8"/>
    <x v="17"/>
    <x v="3"/>
    <x v="0"/>
  </r>
  <r>
    <s v="MT"/>
    <x v="41"/>
    <s v="area_code_510"/>
    <x v="0"/>
    <x v="1"/>
    <n v="0"/>
    <n v="143.19999999999999"/>
    <n v="80"/>
    <n v="24.34"/>
    <n v="88.1"/>
    <n v="94"/>
    <n v="7.49"/>
    <n v="233.2"/>
    <n v="135"/>
    <n v="10.49"/>
    <x v="82"/>
    <x v="2"/>
    <x v="82"/>
    <x v="4"/>
    <x v="1"/>
  </r>
  <r>
    <s v="MO"/>
    <x v="112"/>
    <s v="area_code_415"/>
    <x v="0"/>
    <x v="1"/>
    <n v="0"/>
    <n v="125.5"/>
    <n v="139"/>
    <n v="21.34"/>
    <n v="269.8"/>
    <n v="93"/>
    <n v="22.93"/>
    <n v="235.8"/>
    <n v="110"/>
    <n v="10.61"/>
    <x v="56"/>
    <x v="10"/>
    <x v="56"/>
    <x v="0"/>
    <x v="0"/>
  </r>
  <r>
    <s v="MS"/>
    <x v="15"/>
    <s v="area_code_415"/>
    <x v="0"/>
    <x v="0"/>
    <n v="31"/>
    <n v="82.3"/>
    <n v="105"/>
    <n v="13.99"/>
    <n v="256.10000000000002"/>
    <n v="91"/>
    <n v="21.77"/>
    <n v="229.6"/>
    <n v="98"/>
    <n v="10.33"/>
    <x v="23"/>
    <x v="5"/>
    <x v="23"/>
    <x v="8"/>
    <x v="1"/>
  </r>
  <r>
    <s v="NM"/>
    <x v="191"/>
    <s v="area_code_408"/>
    <x v="0"/>
    <x v="1"/>
    <n v="0"/>
    <n v="165.6"/>
    <n v="104"/>
    <n v="28.15"/>
    <n v="195.9"/>
    <n v="115"/>
    <n v="16.649999999999999"/>
    <n v="118.3"/>
    <n v="77"/>
    <n v="5.32"/>
    <x v="23"/>
    <x v="0"/>
    <x v="23"/>
    <x v="0"/>
    <x v="0"/>
  </r>
  <r>
    <s v="NH"/>
    <x v="139"/>
    <s v="area_code_408"/>
    <x v="0"/>
    <x v="1"/>
    <n v="0"/>
    <n v="162.1"/>
    <n v="91"/>
    <n v="27.56"/>
    <n v="212.1"/>
    <n v="94"/>
    <n v="18.03"/>
    <n v="260.39999999999998"/>
    <n v="78"/>
    <n v="11.72"/>
    <x v="1"/>
    <x v="1"/>
    <x v="1"/>
    <x v="0"/>
    <x v="0"/>
  </r>
  <r>
    <s v="NC"/>
    <x v="78"/>
    <s v="area_code_510"/>
    <x v="0"/>
    <x v="1"/>
    <n v="0"/>
    <n v="166.6"/>
    <n v="84"/>
    <n v="28.32"/>
    <n v="192.4"/>
    <n v="91"/>
    <n v="16.350000000000001"/>
    <n v="167.9"/>
    <n v="115"/>
    <n v="7.56"/>
    <x v="18"/>
    <x v="3"/>
    <x v="18"/>
    <x v="0"/>
    <x v="0"/>
  </r>
  <r>
    <s v="MT"/>
    <x v="100"/>
    <s v="area_code_415"/>
    <x v="0"/>
    <x v="0"/>
    <n v="24"/>
    <n v="135.9"/>
    <n v="60"/>
    <n v="23.1"/>
    <n v="233.2"/>
    <n v="78"/>
    <n v="19.82"/>
    <n v="210.6"/>
    <n v="121"/>
    <n v="9.48"/>
    <x v="27"/>
    <x v="4"/>
    <x v="27"/>
    <x v="0"/>
    <x v="0"/>
  </r>
  <r>
    <s v="SD"/>
    <x v="11"/>
    <s v="area_code_408"/>
    <x v="0"/>
    <x v="0"/>
    <n v="20"/>
    <n v="165.7"/>
    <n v="78"/>
    <n v="28.17"/>
    <n v="215.6"/>
    <n v="94"/>
    <n v="18.329999999999998"/>
    <n v="243.3"/>
    <n v="91"/>
    <n v="10.95"/>
    <x v="52"/>
    <x v="3"/>
    <x v="52"/>
    <x v="1"/>
    <x v="0"/>
  </r>
  <r>
    <s v="VA"/>
    <x v="178"/>
    <s v="area_code_415"/>
    <x v="0"/>
    <x v="1"/>
    <n v="0"/>
    <n v="176.1"/>
    <n v="90"/>
    <n v="29.94"/>
    <n v="174.9"/>
    <n v="106"/>
    <n v="14.87"/>
    <n v="234.7"/>
    <n v="134"/>
    <n v="10.56"/>
    <x v="84"/>
    <x v="4"/>
    <x v="84"/>
    <x v="0"/>
    <x v="0"/>
  </r>
  <r>
    <s v="LA"/>
    <x v="63"/>
    <s v="area_code_510"/>
    <x v="0"/>
    <x v="1"/>
    <n v="0"/>
    <n v="142.30000000000001"/>
    <n v="89"/>
    <n v="24.19"/>
    <n v="204.5"/>
    <n v="95"/>
    <n v="17.38"/>
    <n v="203.1"/>
    <n v="114"/>
    <n v="9.14"/>
    <x v="9"/>
    <x v="8"/>
    <x v="9"/>
    <x v="1"/>
    <x v="0"/>
  </r>
  <r>
    <s v="AK"/>
    <x v="7"/>
    <s v="area_code_408"/>
    <x v="0"/>
    <x v="1"/>
    <n v="0"/>
    <n v="83.2"/>
    <n v="74"/>
    <n v="14.14"/>
    <n v="190.6"/>
    <n v="104"/>
    <n v="16.2"/>
    <n v="150.5"/>
    <n v="79"/>
    <n v="6.77"/>
    <x v="85"/>
    <x v="2"/>
    <x v="85"/>
    <x v="0"/>
    <x v="0"/>
  </r>
  <r>
    <s v="OH"/>
    <x v="186"/>
    <s v="area_code_415"/>
    <x v="1"/>
    <x v="0"/>
    <n v="37"/>
    <n v="235"/>
    <n v="101"/>
    <n v="39.950000000000003"/>
    <n v="183.3"/>
    <n v="79"/>
    <n v="15.58"/>
    <n v="139.80000000000001"/>
    <n v="106"/>
    <n v="6.29"/>
    <x v="16"/>
    <x v="2"/>
    <x v="16"/>
    <x v="2"/>
    <x v="0"/>
  </r>
  <r>
    <s v="NM"/>
    <x v="8"/>
    <s v="area_code_415"/>
    <x v="0"/>
    <x v="1"/>
    <n v="0"/>
    <n v="105.7"/>
    <n v="95"/>
    <n v="17.97"/>
    <n v="141.80000000000001"/>
    <n v="100"/>
    <n v="12.05"/>
    <n v="180.5"/>
    <n v="105"/>
    <n v="8.1199999999999992"/>
    <x v="2"/>
    <x v="14"/>
    <x v="2"/>
    <x v="2"/>
    <x v="0"/>
  </r>
  <r>
    <s v="MI"/>
    <x v="40"/>
    <s v="area_code_415"/>
    <x v="1"/>
    <x v="1"/>
    <n v="0"/>
    <n v="149.4"/>
    <n v="68"/>
    <n v="25.4"/>
    <n v="171.9"/>
    <n v="98"/>
    <n v="14.61"/>
    <n v="214.5"/>
    <n v="97"/>
    <n v="9.65"/>
    <x v="142"/>
    <x v="0"/>
    <x v="142"/>
    <x v="3"/>
    <x v="1"/>
  </r>
  <r>
    <s v="MN"/>
    <x v="167"/>
    <s v="area_code_415"/>
    <x v="0"/>
    <x v="0"/>
    <n v="20"/>
    <n v="264.7"/>
    <n v="81"/>
    <n v="45"/>
    <n v="216.5"/>
    <n v="110"/>
    <n v="18.399999999999999"/>
    <n v="210.7"/>
    <n v="102"/>
    <n v="9.48"/>
    <x v="91"/>
    <x v="2"/>
    <x v="91"/>
    <x v="1"/>
    <x v="0"/>
  </r>
  <r>
    <s v="WY"/>
    <x v="0"/>
    <s v="area_code_510"/>
    <x v="0"/>
    <x v="0"/>
    <n v="31"/>
    <n v="160.30000000000001"/>
    <n v="45"/>
    <n v="27.25"/>
    <n v="221.5"/>
    <n v="70"/>
    <n v="18.829999999999998"/>
    <n v="261.60000000000002"/>
    <n v="109"/>
    <n v="11.77"/>
    <x v="113"/>
    <x v="8"/>
    <x v="113"/>
    <x v="0"/>
    <x v="0"/>
  </r>
  <r>
    <s v="WY"/>
    <x v="76"/>
    <s v="area_code_415"/>
    <x v="1"/>
    <x v="0"/>
    <n v="28"/>
    <n v="95.9"/>
    <n v="117"/>
    <n v="16.3"/>
    <n v="159.5"/>
    <n v="131"/>
    <n v="13.56"/>
    <n v="152.80000000000001"/>
    <n v="132"/>
    <n v="6.88"/>
    <x v="91"/>
    <x v="0"/>
    <x v="91"/>
    <x v="0"/>
    <x v="0"/>
  </r>
  <r>
    <s v="WA"/>
    <x v="26"/>
    <s v="area_code_408"/>
    <x v="0"/>
    <x v="1"/>
    <n v="0"/>
    <n v="140.69999999999999"/>
    <n v="77"/>
    <n v="23.92"/>
    <n v="195.2"/>
    <n v="114"/>
    <n v="16.59"/>
    <n v="252.9"/>
    <n v="107"/>
    <n v="11.38"/>
    <x v="50"/>
    <x v="1"/>
    <x v="50"/>
    <x v="1"/>
    <x v="0"/>
  </r>
  <r>
    <s v="NM"/>
    <x v="132"/>
    <s v="area_code_510"/>
    <x v="0"/>
    <x v="1"/>
    <n v="0"/>
    <n v="119.7"/>
    <n v="148"/>
    <n v="20.350000000000001"/>
    <n v="231.8"/>
    <n v="96"/>
    <n v="19.7"/>
    <n v="222.3"/>
    <n v="113"/>
    <n v="10"/>
    <x v="117"/>
    <x v="5"/>
    <x v="117"/>
    <x v="2"/>
    <x v="0"/>
  </r>
  <r>
    <s v="VA"/>
    <x v="112"/>
    <s v="area_code_415"/>
    <x v="0"/>
    <x v="0"/>
    <n v="30"/>
    <n v="99.9"/>
    <n v="84"/>
    <n v="16.98"/>
    <n v="263.5"/>
    <n v="125"/>
    <n v="22.4"/>
    <n v="254.7"/>
    <n v="90"/>
    <n v="11.46"/>
    <x v="52"/>
    <x v="2"/>
    <x v="52"/>
    <x v="2"/>
    <x v="0"/>
  </r>
  <r>
    <s v="RI"/>
    <x v="165"/>
    <s v="area_code_415"/>
    <x v="0"/>
    <x v="1"/>
    <n v="0"/>
    <n v="250.9"/>
    <n v="108"/>
    <n v="42.65"/>
    <n v="171.4"/>
    <n v="100"/>
    <n v="14.57"/>
    <n v="148.6"/>
    <n v="85"/>
    <n v="6.69"/>
    <x v="63"/>
    <x v="3"/>
    <x v="63"/>
    <x v="2"/>
    <x v="0"/>
  </r>
  <r>
    <s v="AL"/>
    <x v="39"/>
    <s v="area_code_415"/>
    <x v="1"/>
    <x v="1"/>
    <n v="0"/>
    <n v="200.6"/>
    <n v="117"/>
    <n v="34.1"/>
    <n v="289.5"/>
    <n v="120"/>
    <n v="24.61"/>
    <n v="98.3"/>
    <n v="95"/>
    <n v="4.42"/>
    <x v="7"/>
    <x v="1"/>
    <x v="7"/>
    <x v="2"/>
    <x v="0"/>
  </r>
  <r>
    <s v="WV"/>
    <x v="182"/>
    <s v="area_code_510"/>
    <x v="0"/>
    <x v="0"/>
    <n v="38"/>
    <n v="209.8"/>
    <n v="130"/>
    <n v="35.67"/>
    <n v="196.6"/>
    <n v="84"/>
    <n v="16.71"/>
    <n v="233"/>
    <n v="79"/>
    <n v="10.49"/>
    <x v="99"/>
    <x v="2"/>
    <x v="99"/>
    <x v="0"/>
    <x v="0"/>
  </r>
  <r>
    <s v="WV"/>
    <x v="119"/>
    <s v="area_code_415"/>
    <x v="0"/>
    <x v="0"/>
    <n v="34"/>
    <n v="198"/>
    <n v="70"/>
    <n v="33.659999999999997"/>
    <n v="273.7"/>
    <n v="121"/>
    <n v="23.26"/>
    <n v="217.9"/>
    <n v="71"/>
    <n v="9.81"/>
    <x v="98"/>
    <x v="4"/>
    <x v="98"/>
    <x v="0"/>
    <x v="0"/>
  </r>
  <r>
    <s v="NJ"/>
    <x v="76"/>
    <s v="area_code_510"/>
    <x v="0"/>
    <x v="1"/>
    <n v="0"/>
    <n v="239.8"/>
    <n v="107"/>
    <n v="40.770000000000003"/>
    <n v="128.9"/>
    <n v="121"/>
    <n v="10.96"/>
    <n v="249.9"/>
    <n v="110"/>
    <n v="11.25"/>
    <x v="61"/>
    <x v="1"/>
    <x v="61"/>
    <x v="0"/>
    <x v="0"/>
  </r>
  <r>
    <s v="MI"/>
    <x v="134"/>
    <s v="area_code_510"/>
    <x v="0"/>
    <x v="1"/>
    <n v="0"/>
    <n v="220.9"/>
    <n v="107"/>
    <n v="37.549999999999997"/>
    <n v="192.2"/>
    <n v="97"/>
    <n v="16.34"/>
    <n v="161"/>
    <n v="74"/>
    <n v="7.25"/>
    <x v="1"/>
    <x v="5"/>
    <x v="1"/>
    <x v="0"/>
    <x v="0"/>
  </r>
  <r>
    <s v="MI"/>
    <x v="82"/>
    <s v="area_code_510"/>
    <x v="0"/>
    <x v="0"/>
    <n v="26"/>
    <n v="226.4"/>
    <n v="117"/>
    <n v="38.49"/>
    <n v="234.7"/>
    <n v="97"/>
    <n v="19.95"/>
    <n v="133.6"/>
    <n v="82"/>
    <n v="6.01"/>
    <x v="81"/>
    <x v="2"/>
    <x v="81"/>
    <x v="0"/>
    <x v="0"/>
  </r>
  <r>
    <s v="ND"/>
    <x v="37"/>
    <s v="area_code_510"/>
    <x v="0"/>
    <x v="1"/>
    <n v="0"/>
    <n v="203.2"/>
    <n v="99"/>
    <n v="34.54"/>
    <n v="235.8"/>
    <n v="131"/>
    <n v="20.04"/>
    <n v="224.9"/>
    <n v="112"/>
    <n v="10.119999999999999"/>
    <x v="127"/>
    <x v="3"/>
    <x v="127"/>
    <x v="2"/>
    <x v="0"/>
  </r>
  <r>
    <s v="VT"/>
    <x v="66"/>
    <s v="area_code_415"/>
    <x v="0"/>
    <x v="1"/>
    <n v="0"/>
    <n v="136.69999999999999"/>
    <n v="115"/>
    <n v="23.24"/>
    <n v="243.1"/>
    <n v="137"/>
    <n v="20.66"/>
    <n v="188.9"/>
    <n v="110"/>
    <n v="8.5"/>
    <x v="53"/>
    <x v="4"/>
    <x v="53"/>
    <x v="1"/>
    <x v="0"/>
  </r>
  <r>
    <s v="WA"/>
    <x v="27"/>
    <s v="area_code_408"/>
    <x v="0"/>
    <x v="1"/>
    <n v="0"/>
    <n v="152.6"/>
    <n v="97"/>
    <n v="25.94"/>
    <n v="208.9"/>
    <n v="85"/>
    <n v="17.760000000000002"/>
    <n v="119.1"/>
    <n v="99"/>
    <n v="5.36"/>
    <x v="105"/>
    <x v="11"/>
    <x v="105"/>
    <x v="0"/>
    <x v="0"/>
  </r>
  <r>
    <s v="NC"/>
    <x v="161"/>
    <s v="area_code_408"/>
    <x v="0"/>
    <x v="0"/>
    <n v="47"/>
    <n v="274.89999999999998"/>
    <n v="102"/>
    <n v="46.73"/>
    <n v="186.6"/>
    <n v="118"/>
    <n v="15.86"/>
    <n v="245"/>
    <n v="123"/>
    <n v="11.03"/>
    <x v="82"/>
    <x v="5"/>
    <x v="82"/>
    <x v="0"/>
    <x v="0"/>
  </r>
  <r>
    <s v="WV"/>
    <x v="134"/>
    <s v="area_code_415"/>
    <x v="0"/>
    <x v="1"/>
    <n v="0"/>
    <n v="222.3"/>
    <n v="99"/>
    <n v="37.79"/>
    <n v="146.19999999999999"/>
    <n v="82"/>
    <n v="12.43"/>
    <n v="275.60000000000002"/>
    <n v="82"/>
    <n v="12.4"/>
    <x v="56"/>
    <x v="4"/>
    <x v="56"/>
    <x v="3"/>
    <x v="0"/>
  </r>
  <r>
    <s v="ID"/>
    <x v="132"/>
    <s v="area_code_510"/>
    <x v="0"/>
    <x v="0"/>
    <n v="8"/>
    <n v="222.5"/>
    <n v="104"/>
    <n v="37.83"/>
    <n v="171.5"/>
    <n v="94"/>
    <n v="14.58"/>
    <n v="377.5"/>
    <n v="114"/>
    <n v="16.989999999999998"/>
    <x v="84"/>
    <x v="5"/>
    <x v="84"/>
    <x v="0"/>
    <x v="0"/>
  </r>
  <r>
    <s v="LA"/>
    <x v="18"/>
    <s v="area_code_415"/>
    <x v="0"/>
    <x v="0"/>
    <n v="28"/>
    <n v="128.80000000000001"/>
    <n v="104"/>
    <n v="21.9"/>
    <n v="157.30000000000001"/>
    <n v="52"/>
    <n v="13.37"/>
    <n v="147.4"/>
    <n v="76"/>
    <n v="6.63"/>
    <x v="19"/>
    <x v="5"/>
    <x v="19"/>
    <x v="2"/>
    <x v="0"/>
  </r>
  <r>
    <s v="GA"/>
    <x v="31"/>
    <s v="area_code_415"/>
    <x v="0"/>
    <x v="1"/>
    <n v="0"/>
    <n v="174.3"/>
    <n v="105"/>
    <n v="29.63"/>
    <n v="171.3"/>
    <n v="107"/>
    <n v="14.56"/>
    <n v="220.8"/>
    <n v="131"/>
    <n v="9.94"/>
    <x v="24"/>
    <x v="5"/>
    <x v="24"/>
    <x v="1"/>
    <x v="0"/>
  </r>
  <r>
    <s v="FL"/>
    <x v="77"/>
    <s v="area_code_415"/>
    <x v="0"/>
    <x v="1"/>
    <n v="0"/>
    <n v="242.5"/>
    <n v="110"/>
    <n v="41.23"/>
    <n v="162.30000000000001"/>
    <n v="140"/>
    <n v="13.8"/>
    <n v="184.1"/>
    <n v="86"/>
    <n v="8.2799999999999994"/>
    <x v="35"/>
    <x v="0"/>
    <x v="35"/>
    <x v="4"/>
    <x v="0"/>
  </r>
  <r>
    <s v="CO"/>
    <x v="192"/>
    <s v="area_code_415"/>
    <x v="0"/>
    <x v="1"/>
    <n v="0"/>
    <n v="221.6"/>
    <n v="101"/>
    <n v="37.67"/>
    <n v="285.2"/>
    <n v="50"/>
    <n v="24.24"/>
    <n v="167.4"/>
    <n v="83"/>
    <n v="7.53"/>
    <x v="8"/>
    <x v="3"/>
    <x v="8"/>
    <x v="4"/>
    <x v="0"/>
  </r>
  <r>
    <s v="NV"/>
    <x v="67"/>
    <s v="area_code_408"/>
    <x v="0"/>
    <x v="1"/>
    <n v="0"/>
    <n v="114.3"/>
    <n v="100"/>
    <n v="19.43"/>
    <n v="221.1"/>
    <n v="103"/>
    <n v="18.79"/>
    <n v="126.3"/>
    <n v="88"/>
    <n v="5.68"/>
    <x v="54"/>
    <x v="6"/>
    <x v="54"/>
    <x v="1"/>
    <x v="0"/>
  </r>
  <r>
    <s v="VA"/>
    <x v="16"/>
    <s v="area_code_510"/>
    <x v="0"/>
    <x v="1"/>
    <n v="0"/>
    <n v="144.9"/>
    <n v="136"/>
    <n v="24.63"/>
    <n v="151.30000000000001"/>
    <n v="115"/>
    <n v="12.86"/>
    <n v="252.4"/>
    <n v="73"/>
    <n v="11.36"/>
    <x v="10"/>
    <x v="0"/>
    <x v="10"/>
    <x v="2"/>
    <x v="0"/>
  </r>
  <r>
    <s v="UT"/>
    <x v="102"/>
    <s v="area_code_415"/>
    <x v="0"/>
    <x v="0"/>
    <n v="40"/>
    <n v="236.5"/>
    <n v="111"/>
    <n v="40.21"/>
    <n v="117"/>
    <n v="110"/>
    <n v="9.9499999999999993"/>
    <n v="221.1"/>
    <n v="115"/>
    <n v="9.9499999999999993"/>
    <x v="111"/>
    <x v="0"/>
    <x v="111"/>
    <x v="2"/>
    <x v="0"/>
  </r>
  <r>
    <s v="UT"/>
    <x v="139"/>
    <s v="area_code_408"/>
    <x v="0"/>
    <x v="0"/>
    <n v="44"/>
    <n v="174"/>
    <n v="80"/>
    <n v="29.58"/>
    <n v="209.4"/>
    <n v="113"/>
    <n v="17.8"/>
    <n v="224.1"/>
    <n v="87"/>
    <n v="10.08"/>
    <x v="71"/>
    <x v="2"/>
    <x v="71"/>
    <x v="2"/>
    <x v="1"/>
  </r>
  <r>
    <s v="MO"/>
    <x v="100"/>
    <s v="area_code_408"/>
    <x v="0"/>
    <x v="1"/>
    <n v="0"/>
    <n v="109.5"/>
    <n v="95"/>
    <n v="18.62"/>
    <n v="332.1"/>
    <n v="48"/>
    <n v="28.23"/>
    <n v="258.60000000000002"/>
    <n v="108"/>
    <n v="11.64"/>
    <x v="2"/>
    <x v="2"/>
    <x v="2"/>
    <x v="0"/>
    <x v="0"/>
  </r>
  <r>
    <s v="HI"/>
    <x v="98"/>
    <s v="area_code_415"/>
    <x v="0"/>
    <x v="1"/>
    <n v="0"/>
    <n v="133.4"/>
    <n v="113"/>
    <n v="22.68"/>
    <n v="121"/>
    <n v="92"/>
    <n v="10.29"/>
    <n v="254.7"/>
    <n v="129"/>
    <n v="11.46"/>
    <x v="96"/>
    <x v="4"/>
    <x v="96"/>
    <x v="0"/>
    <x v="0"/>
  </r>
  <r>
    <s v="MD"/>
    <x v="41"/>
    <s v="area_code_408"/>
    <x v="0"/>
    <x v="1"/>
    <n v="0"/>
    <n v="137.1"/>
    <n v="94"/>
    <n v="23.31"/>
    <n v="209.8"/>
    <n v="83"/>
    <n v="17.829999999999998"/>
    <n v="238.4"/>
    <n v="114"/>
    <n v="10.73"/>
    <x v="53"/>
    <x v="4"/>
    <x v="53"/>
    <x v="0"/>
    <x v="0"/>
  </r>
  <r>
    <s v="VA"/>
    <x v="11"/>
    <s v="area_code_415"/>
    <x v="0"/>
    <x v="1"/>
    <n v="0"/>
    <n v="197"/>
    <n v="88"/>
    <n v="33.49"/>
    <n v="190.4"/>
    <n v="68"/>
    <n v="16.18"/>
    <n v="211.9"/>
    <n v="104"/>
    <n v="9.5399999999999991"/>
    <x v="137"/>
    <x v="10"/>
    <x v="137"/>
    <x v="1"/>
    <x v="0"/>
  </r>
  <r>
    <s v="MT"/>
    <x v="62"/>
    <s v="area_code_415"/>
    <x v="0"/>
    <x v="1"/>
    <n v="0"/>
    <n v="198.1"/>
    <n v="160"/>
    <n v="33.68"/>
    <n v="156.69999999999999"/>
    <n v="87"/>
    <n v="13.32"/>
    <n v="182.1"/>
    <n v="76"/>
    <n v="8.19"/>
    <x v="38"/>
    <x v="0"/>
    <x v="38"/>
    <x v="3"/>
    <x v="0"/>
  </r>
  <r>
    <s v="SC"/>
    <x v="79"/>
    <s v="area_code_408"/>
    <x v="0"/>
    <x v="1"/>
    <n v="0"/>
    <n v="39.5"/>
    <n v="78"/>
    <n v="6.72"/>
    <n v="264.3"/>
    <n v="106"/>
    <n v="22.47"/>
    <n v="185.8"/>
    <n v="90"/>
    <n v="8.36"/>
    <x v="13"/>
    <x v="3"/>
    <x v="13"/>
    <x v="1"/>
    <x v="0"/>
  </r>
  <r>
    <s v="CO"/>
    <x v="167"/>
    <s v="area_code_408"/>
    <x v="0"/>
    <x v="1"/>
    <n v="0"/>
    <n v="199.5"/>
    <n v="107"/>
    <n v="33.92"/>
    <n v="207.5"/>
    <n v="110"/>
    <n v="17.64"/>
    <n v="83.9"/>
    <n v="123"/>
    <n v="3.78"/>
    <x v="111"/>
    <x v="4"/>
    <x v="111"/>
    <x v="2"/>
    <x v="0"/>
  </r>
  <r>
    <s v="ID"/>
    <x v="137"/>
    <s v="area_code_415"/>
    <x v="0"/>
    <x v="1"/>
    <n v="0"/>
    <n v="156.80000000000001"/>
    <n v="93"/>
    <n v="26.66"/>
    <n v="215.8"/>
    <n v="68"/>
    <n v="18.34"/>
    <n v="223.3"/>
    <n v="77"/>
    <n v="10.050000000000001"/>
    <x v="98"/>
    <x v="3"/>
    <x v="98"/>
    <x v="0"/>
    <x v="0"/>
  </r>
  <r>
    <s v="UT"/>
    <x v="193"/>
    <s v="area_code_415"/>
    <x v="0"/>
    <x v="1"/>
    <n v="0"/>
    <n v="63.2"/>
    <n v="108"/>
    <n v="10.74"/>
    <n v="220.2"/>
    <n v="88"/>
    <n v="18.72"/>
    <n v="184"/>
    <n v="99"/>
    <n v="8.2799999999999994"/>
    <x v="118"/>
    <x v="0"/>
    <x v="118"/>
    <x v="1"/>
    <x v="0"/>
  </r>
  <r>
    <s v="RI"/>
    <x v="106"/>
    <s v="area_code_415"/>
    <x v="0"/>
    <x v="0"/>
    <n v="27"/>
    <n v="218.7"/>
    <n v="79"/>
    <n v="37.18"/>
    <n v="163.4"/>
    <n v="78"/>
    <n v="13.89"/>
    <n v="173.8"/>
    <n v="116"/>
    <n v="7.82"/>
    <x v="51"/>
    <x v="8"/>
    <x v="51"/>
    <x v="1"/>
    <x v="0"/>
  </r>
  <r>
    <s v="FL"/>
    <x v="70"/>
    <s v="area_code_415"/>
    <x v="0"/>
    <x v="0"/>
    <n v="41"/>
    <n v="207.3"/>
    <n v="95"/>
    <n v="35.24"/>
    <n v="137.30000000000001"/>
    <n v="120"/>
    <n v="11.67"/>
    <n v="115.7"/>
    <n v="74"/>
    <n v="5.21"/>
    <x v="96"/>
    <x v="0"/>
    <x v="96"/>
    <x v="0"/>
    <x v="0"/>
  </r>
  <r>
    <s v="MD"/>
    <x v="14"/>
    <s v="area_code_415"/>
    <x v="1"/>
    <x v="1"/>
    <n v="0"/>
    <n v="273.3"/>
    <n v="66"/>
    <n v="46.46"/>
    <n v="263.60000000000002"/>
    <n v="121"/>
    <n v="22.41"/>
    <n v="165.2"/>
    <n v="84"/>
    <n v="7.43"/>
    <x v="42"/>
    <x v="2"/>
    <x v="42"/>
    <x v="0"/>
    <x v="1"/>
  </r>
  <r>
    <s v="IL"/>
    <x v="112"/>
    <s v="area_code_415"/>
    <x v="1"/>
    <x v="1"/>
    <n v="0"/>
    <n v="266.10000000000002"/>
    <n v="120"/>
    <n v="45.24"/>
    <n v="182"/>
    <n v="92"/>
    <n v="15.47"/>
    <n v="206.5"/>
    <n v="103"/>
    <n v="9.2899999999999991"/>
    <x v="19"/>
    <x v="4"/>
    <x v="19"/>
    <x v="0"/>
    <x v="0"/>
  </r>
  <r>
    <s v="PA"/>
    <x v="141"/>
    <s v="area_code_408"/>
    <x v="0"/>
    <x v="1"/>
    <n v="0"/>
    <n v="112.8"/>
    <n v="89"/>
    <n v="19.18"/>
    <n v="156.69999999999999"/>
    <n v="65"/>
    <n v="13.32"/>
    <n v="249.6"/>
    <n v="85"/>
    <n v="11.23"/>
    <x v="122"/>
    <x v="3"/>
    <x v="122"/>
    <x v="1"/>
    <x v="0"/>
  </r>
  <r>
    <s v="AZ"/>
    <x v="58"/>
    <s v="area_code_415"/>
    <x v="0"/>
    <x v="1"/>
    <n v="0"/>
    <n v="104.7"/>
    <n v="112"/>
    <n v="17.8"/>
    <n v="82.2"/>
    <n v="104"/>
    <n v="6.99"/>
    <n v="169.4"/>
    <n v="110"/>
    <n v="7.62"/>
    <x v="74"/>
    <x v="2"/>
    <x v="74"/>
    <x v="3"/>
    <x v="0"/>
  </r>
  <r>
    <s v="NH"/>
    <x v="4"/>
    <s v="area_code_510"/>
    <x v="0"/>
    <x v="0"/>
    <n v="35"/>
    <n v="193.8"/>
    <n v="62"/>
    <n v="32.950000000000003"/>
    <n v="197.6"/>
    <n v="97"/>
    <n v="16.8"/>
    <n v="218.8"/>
    <n v="95"/>
    <n v="9.85"/>
    <x v="96"/>
    <x v="4"/>
    <x v="96"/>
    <x v="1"/>
    <x v="0"/>
  </r>
  <r>
    <s v="RI"/>
    <x v="126"/>
    <s v="area_code_415"/>
    <x v="0"/>
    <x v="1"/>
    <n v="0"/>
    <n v="168.6"/>
    <n v="102"/>
    <n v="28.66"/>
    <n v="298"/>
    <n v="117"/>
    <n v="25.33"/>
    <n v="194.7"/>
    <n v="110"/>
    <n v="8.76"/>
    <x v="52"/>
    <x v="1"/>
    <x v="52"/>
    <x v="0"/>
    <x v="0"/>
  </r>
  <r>
    <s v="HI"/>
    <x v="98"/>
    <s v="area_code_415"/>
    <x v="0"/>
    <x v="1"/>
    <n v="0"/>
    <n v="253.2"/>
    <n v="122"/>
    <n v="43.04"/>
    <n v="201"/>
    <n v="78"/>
    <n v="17.09"/>
    <n v="195.3"/>
    <n v="108"/>
    <n v="8.7899999999999991"/>
    <x v="84"/>
    <x v="2"/>
    <x v="84"/>
    <x v="2"/>
    <x v="0"/>
  </r>
  <r>
    <s v="NJ"/>
    <x v="103"/>
    <s v="area_code_415"/>
    <x v="0"/>
    <x v="0"/>
    <n v="16"/>
    <n v="174.7"/>
    <n v="92"/>
    <n v="29.7"/>
    <n v="232.1"/>
    <n v="105"/>
    <n v="19.73"/>
    <n v="305.39999999999998"/>
    <n v="98"/>
    <n v="13.74"/>
    <x v="56"/>
    <x v="5"/>
    <x v="56"/>
    <x v="0"/>
    <x v="0"/>
  </r>
  <r>
    <s v="MD"/>
    <x v="131"/>
    <s v="area_code_415"/>
    <x v="0"/>
    <x v="0"/>
    <n v="34"/>
    <n v="204.5"/>
    <n v="79"/>
    <n v="34.770000000000003"/>
    <n v="132.80000000000001"/>
    <n v="113"/>
    <n v="11.29"/>
    <n v="190.1"/>
    <n v="117"/>
    <n v="8.5500000000000007"/>
    <x v="102"/>
    <x v="6"/>
    <x v="102"/>
    <x v="2"/>
    <x v="0"/>
  </r>
  <r>
    <s v="OR"/>
    <x v="84"/>
    <s v="area_code_408"/>
    <x v="0"/>
    <x v="1"/>
    <n v="0"/>
    <n v="226.5"/>
    <n v="93"/>
    <n v="38.51"/>
    <n v="152.1"/>
    <n v="122"/>
    <n v="12.93"/>
    <n v="164.4"/>
    <n v="98"/>
    <n v="7.4"/>
    <x v="27"/>
    <x v="4"/>
    <x v="27"/>
    <x v="3"/>
    <x v="0"/>
  </r>
  <r>
    <s v="NV"/>
    <x v="0"/>
    <s v="area_code_510"/>
    <x v="1"/>
    <x v="1"/>
    <n v="0"/>
    <n v="234.1"/>
    <n v="91"/>
    <n v="39.799999999999997"/>
    <n v="163.1"/>
    <n v="105"/>
    <n v="13.86"/>
    <n v="282.5"/>
    <n v="100"/>
    <n v="12.71"/>
    <x v="13"/>
    <x v="0"/>
    <x v="13"/>
    <x v="0"/>
    <x v="0"/>
  </r>
  <r>
    <s v="AR"/>
    <x v="0"/>
    <s v="area_code_415"/>
    <x v="1"/>
    <x v="1"/>
    <n v="0"/>
    <n v="133.30000000000001"/>
    <n v="106"/>
    <n v="22.66"/>
    <n v="182.9"/>
    <n v="89"/>
    <n v="15.55"/>
    <n v="241.1"/>
    <n v="123"/>
    <n v="10.85"/>
    <x v="89"/>
    <x v="5"/>
    <x v="89"/>
    <x v="3"/>
    <x v="1"/>
  </r>
  <r>
    <s v="MT"/>
    <x v="51"/>
    <s v="area_code_415"/>
    <x v="0"/>
    <x v="1"/>
    <n v="0"/>
    <n v="133.9"/>
    <n v="87"/>
    <n v="22.76"/>
    <n v="166.4"/>
    <n v="110"/>
    <n v="14.14"/>
    <n v="193.5"/>
    <n v="139"/>
    <n v="8.7100000000000009"/>
    <x v="93"/>
    <x v="0"/>
    <x v="93"/>
    <x v="0"/>
    <x v="0"/>
  </r>
  <r>
    <s v="CT"/>
    <x v="78"/>
    <s v="area_code_510"/>
    <x v="0"/>
    <x v="1"/>
    <n v="0"/>
    <n v="160.19999999999999"/>
    <n v="104"/>
    <n v="27.23"/>
    <n v="138.9"/>
    <n v="70"/>
    <n v="11.81"/>
    <n v="312.5"/>
    <n v="97"/>
    <n v="14.06"/>
    <x v="84"/>
    <x v="5"/>
    <x v="84"/>
    <x v="1"/>
    <x v="0"/>
  </r>
  <r>
    <s v="UT"/>
    <x v="43"/>
    <s v="area_code_415"/>
    <x v="0"/>
    <x v="0"/>
    <n v="44"/>
    <n v="230.6"/>
    <n v="94"/>
    <n v="39.200000000000003"/>
    <n v="224.1"/>
    <n v="103"/>
    <n v="19.05"/>
    <n v="244"/>
    <n v="76"/>
    <n v="10.98"/>
    <x v="22"/>
    <x v="5"/>
    <x v="22"/>
    <x v="1"/>
    <x v="0"/>
  </r>
  <r>
    <s v="NV"/>
    <x v="12"/>
    <s v="area_code_415"/>
    <x v="0"/>
    <x v="1"/>
    <n v="0"/>
    <n v="72.8"/>
    <n v="120"/>
    <n v="12.38"/>
    <n v="267.10000000000002"/>
    <n v="120"/>
    <n v="22.7"/>
    <n v="222.5"/>
    <n v="91"/>
    <n v="10.01"/>
    <x v="23"/>
    <x v="5"/>
    <x v="23"/>
    <x v="2"/>
    <x v="0"/>
  </r>
  <r>
    <s v="TN"/>
    <x v="173"/>
    <s v="area_code_415"/>
    <x v="0"/>
    <x v="1"/>
    <n v="0"/>
    <n v="196.1"/>
    <n v="107"/>
    <n v="33.340000000000003"/>
    <n v="296.5"/>
    <n v="82"/>
    <n v="25.2"/>
    <n v="211.5"/>
    <n v="91"/>
    <n v="9.52"/>
    <x v="99"/>
    <x v="5"/>
    <x v="99"/>
    <x v="0"/>
    <x v="0"/>
  </r>
  <r>
    <s v="DE"/>
    <x v="121"/>
    <s v="area_code_408"/>
    <x v="0"/>
    <x v="1"/>
    <n v="0"/>
    <n v="197.1"/>
    <n v="110"/>
    <n v="33.51"/>
    <n v="165.9"/>
    <n v="115"/>
    <n v="14.1"/>
    <n v="227.3"/>
    <n v="106"/>
    <n v="10.23"/>
    <x v="75"/>
    <x v="0"/>
    <x v="75"/>
    <x v="0"/>
    <x v="0"/>
  </r>
  <r>
    <s v="NY"/>
    <x v="32"/>
    <s v="area_code_408"/>
    <x v="0"/>
    <x v="1"/>
    <n v="0"/>
    <n v="219.6"/>
    <n v="126"/>
    <n v="37.33"/>
    <n v="303.3"/>
    <n v="100"/>
    <n v="25.78"/>
    <n v="154.5"/>
    <n v="65"/>
    <n v="6.95"/>
    <x v="84"/>
    <x v="1"/>
    <x v="84"/>
    <x v="0"/>
    <x v="0"/>
  </r>
  <r>
    <s v="IA"/>
    <x v="131"/>
    <s v="area_code_415"/>
    <x v="0"/>
    <x v="1"/>
    <n v="0"/>
    <n v="216"/>
    <n v="85"/>
    <n v="36.72"/>
    <n v="186.9"/>
    <n v="114"/>
    <n v="15.89"/>
    <n v="210.7"/>
    <n v="109"/>
    <n v="9.48"/>
    <x v="140"/>
    <x v="11"/>
    <x v="140"/>
    <x v="2"/>
    <x v="0"/>
  </r>
  <r>
    <s v="VT"/>
    <x v="59"/>
    <s v="area_code_510"/>
    <x v="0"/>
    <x v="0"/>
    <n v="32"/>
    <n v="222.9"/>
    <n v="136"/>
    <n v="37.89"/>
    <n v="262"/>
    <n v="80"/>
    <n v="22.27"/>
    <n v="191.4"/>
    <n v="101"/>
    <n v="8.61"/>
    <x v="81"/>
    <x v="4"/>
    <x v="81"/>
    <x v="1"/>
    <x v="0"/>
  </r>
  <r>
    <s v="LA"/>
    <x v="40"/>
    <s v="area_code_415"/>
    <x v="0"/>
    <x v="0"/>
    <n v="36"/>
    <n v="115.9"/>
    <n v="120"/>
    <n v="19.7"/>
    <n v="236.6"/>
    <n v="95"/>
    <n v="20.11"/>
    <n v="255"/>
    <n v="90"/>
    <n v="11.48"/>
    <x v="50"/>
    <x v="3"/>
    <x v="50"/>
    <x v="3"/>
    <x v="0"/>
  </r>
  <r>
    <s v="MT"/>
    <x v="113"/>
    <s v="area_code_510"/>
    <x v="0"/>
    <x v="1"/>
    <n v="0"/>
    <n v="189.8"/>
    <n v="101"/>
    <n v="32.270000000000003"/>
    <n v="147.69999999999999"/>
    <n v="80"/>
    <n v="12.55"/>
    <n v="172.7"/>
    <n v="121"/>
    <n v="7.77"/>
    <x v="15"/>
    <x v="1"/>
    <x v="15"/>
    <x v="0"/>
    <x v="0"/>
  </r>
  <r>
    <s v="WV"/>
    <x v="112"/>
    <s v="area_code_415"/>
    <x v="0"/>
    <x v="1"/>
    <n v="0"/>
    <n v="136.4"/>
    <n v="104"/>
    <n v="23.19"/>
    <n v="202.5"/>
    <n v="110"/>
    <n v="17.21"/>
    <n v="230.7"/>
    <n v="86"/>
    <n v="10.38"/>
    <x v="73"/>
    <x v="8"/>
    <x v="73"/>
    <x v="3"/>
    <x v="0"/>
  </r>
  <r>
    <s v="ID"/>
    <x v="39"/>
    <s v="area_code_408"/>
    <x v="0"/>
    <x v="1"/>
    <n v="0"/>
    <n v="170.5"/>
    <n v="86"/>
    <n v="28.99"/>
    <n v="277.5"/>
    <n v="88"/>
    <n v="23.59"/>
    <n v="162.5"/>
    <n v="117"/>
    <n v="7.31"/>
    <x v="1"/>
    <x v="3"/>
    <x v="1"/>
    <x v="0"/>
    <x v="0"/>
  </r>
  <r>
    <s v="AZ"/>
    <x v="145"/>
    <s v="area_code_510"/>
    <x v="0"/>
    <x v="1"/>
    <n v="0"/>
    <n v="272.39999999999998"/>
    <n v="88"/>
    <n v="46.31"/>
    <n v="107.9"/>
    <n v="125"/>
    <n v="9.17"/>
    <n v="185.5"/>
    <n v="81"/>
    <n v="8.35"/>
    <x v="8"/>
    <x v="5"/>
    <x v="8"/>
    <x v="1"/>
    <x v="0"/>
  </r>
  <r>
    <s v="SC"/>
    <x v="32"/>
    <s v="area_code_510"/>
    <x v="0"/>
    <x v="0"/>
    <n v="40"/>
    <n v="210"/>
    <n v="116"/>
    <n v="35.700000000000003"/>
    <n v="232.7"/>
    <n v="89"/>
    <n v="19.78"/>
    <n v="168.8"/>
    <n v="94"/>
    <n v="7.6"/>
    <x v="96"/>
    <x v="4"/>
    <x v="96"/>
    <x v="9"/>
    <x v="0"/>
  </r>
  <r>
    <s v="OH"/>
    <x v="8"/>
    <s v="area_code_510"/>
    <x v="0"/>
    <x v="1"/>
    <n v="0"/>
    <n v="153.9"/>
    <n v="117"/>
    <n v="26.16"/>
    <n v="220.1"/>
    <n v="122"/>
    <n v="18.71"/>
    <n v="280.5"/>
    <n v="147"/>
    <n v="12.62"/>
    <x v="31"/>
    <x v="0"/>
    <x v="31"/>
    <x v="2"/>
    <x v="0"/>
  </r>
  <r>
    <s v="MD"/>
    <x v="27"/>
    <s v="area_code_415"/>
    <x v="0"/>
    <x v="1"/>
    <n v="0"/>
    <n v="252.4"/>
    <n v="74"/>
    <n v="42.91"/>
    <n v="167.9"/>
    <n v="81"/>
    <n v="14.27"/>
    <n v="248.3"/>
    <n v="110"/>
    <n v="11.17"/>
    <x v="85"/>
    <x v="0"/>
    <x v="85"/>
    <x v="2"/>
    <x v="0"/>
  </r>
  <r>
    <s v="MN"/>
    <x v="43"/>
    <s v="area_code_408"/>
    <x v="0"/>
    <x v="1"/>
    <n v="0"/>
    <n v="197.9"/>
    <n v="84"/>
    <n v="33.64"/>
    <n v="168.1"/>
    <n v="113"/>
    <n v="14.29"/>
    <n v="239.8"/>
    <n v="145"/>
    <n v="10.79"/>
    <x v="42"/>
    <x v="3"/>
    <x v="42"/>
    <x v="0"/>
    <x v="0"/>
  </r>
  <r>
    <s v="NE"/>
    <x v="67"/>
    <s v="area_code_408"/>
    <x v="0"/>
    <x v="1"/>
    <n v="0"/>
    <n v="152.4"/>
    <n v="74"/>
    <n v="25.91"/>
    <n v="274.60000000000002"/>
    <n v="88"/>
    <n v="23.34"/>
    <n v="252.2"/>
    <n v="120"/>
    <n v="11.35"/>
    <x v="2"/>
    <x v="1"/>
    <x v="2"/>
    <x v="3"/>
    <x v="0"/>
  </r>
  <r>
    <s v="MN"/>
    <x v="34"/>
    <s v="area_code_510"/>
    <x v="0"/>
    <x v="0"/>
    <n v="40"/>
    <n v="237.4"/>
    <n v="105"/>
    <n v="40.36"/>
    <n v="175.9"/>
    <n v="93"/>
    <n v="14.95"/>
    <n v="210.3"/>
    <n v="110"/>
    <n v="9.4600000000000009"/>
    <x v="29"/>
    <x v="0"/>
    <x v="29"/>
    <x v="3"/>
    <x v="0"/>
  </r>
  <r>
    <s v="NY"/>
    <x v="73"/>
    <s v="area_code_408"/>
    <x v="0"/>
    <x v="1"/>
    <n v="0"/>
    <n v="265.60000000000002"/>
    <n v="82"/>
    <n v="45.15"/>
    <n v="180.7"/>
    <n v="75"/>
    <n v="15.36"/>
    <n v="211.1"/>
    <n v="113"/>
    <n v="9.5"/>
    <x v="53"/>
    <x v="5"/>
    <x v="53"/>
    <x v="0"/>
    <x v="0"/>
  </r>
  <r>
    <s v="HI"/>
    <x v="58"/>
    <s v="area_code_415"/>
    <x v="0"/>
    <x v="1"/>
    <n v="0"/>
    <n v="197.3"/>
    <n v="91"/>
    <n v="33.54"/>
    <n v="305.8"/>
    <n v="81"/>
    <n v="25.99"/>
    <n v="171"/>
    <n v="105"/>
    <n v="7.69"/>
    <x v="92"/>
    <x v="3"/>
    <x v="92"/>
    <x v="0"/>
    <x v="0"/>
  </r>
  <r>
    <s v="MO"/>
    <x v="110"/>
    <s v="area_code_408"/>
    <x v="0"/>
    <x v="0"/>
    <n v="14"/>
    <n v="199.1"/>
    <n v="100"/>
    <n v="33.85"/>
    <n v="221.8"/>
    <n v="103"/>
    <n v="18.850000000000001"/>
    <n v="65.7"/>
    <n v="91"/>
    <n v="2.96"/>
    <x v="134"/>
    <x v="8"/>
    <x v="134"/>
    <x v="0"/>
    <x v="0"/>
  </r>
  <r>
    <s v="NV"/>
    <x v="167"/>
    <s v="area_code_415"/>
    <x v="0"/>
    <x v="1"/>
    <n v="0"/>
    <n v="233.7"/>
    <n v="114"/>
    <n v="39.729999999999997"/>
    <n v="207.9"/>
    <n v="109"/>
    <n v="17.670000000000002"/>
    <n v="212.7"/>
    <n v="101"/>
    <n v="9.57"/>
    <x v="42"/>
    <x v="5"/>
    <x v="42"/>
    <x v="2"/>
    <x v="0"/>
  </r>
  <r>
    <s v="MA"/>
    <x v="97"/>
    <s v="area_code_415"/>
    <x v="0"/>
    <x v="1"/>
    <n v="0"/>
    <n v="183.1"/>
    <n v="99"/>
    <n v="31.13"/>
    <n v="160.1"/>
    <n v="107"/>
    <n v="13.61"/>
    <n v="311.8"/>
    <n v="121"/>
    <n v="14.03"/>
    <x v="99"/>
    <x v="0"/>
    <x v="99"/>
    <x v="0"/>
    <x v="0"/>
  </r>
  <r>
    <s v="FL"/>
    <x v="17"/>
    <s v="area_code_415"/>
    <x v="0"/>
    <x v="1"/>
    <n v="0"/>
    <n v="207.1"/>
    <n v="70"/>
    <n v="35.21"/>
    <n v="200.1"/>
    <n v="115"/>
    <n v="17.010000000000002"/>
    <n v="194.2"/>
    <n v="100"/>
    <n v="8.74"/>
    <x v="70"/>
    <x v="5"/>
    <x v="70"/>
    <x v="0"/>
    <x v="0"/>
  </r>
  <r>
    <s v="WA"/>
    <x v="130"/>
    <s v="area_code_415"/>
    <x v="0"/>
    <x v="1"/>
    <n v="0"/>
    <n v="139.69999999999999"/>
    <n v="78"/>
    <n v="23.75"/>
    <n v="202.6"/>
    <n v="119"/>
    <n v="17.22"/>
    <n v="203.6"/>
    <n v="102"/>
    <n v="9.16"/>
    <x v="61"/>
    <x v="1"/>
    <x v="61"/>
    <x v="2"/>
    <x v="0"/>
  </r>
  <r>
    <s v="CT"/>
    <x v="169"/>
    <s v="area_code_408"/>
    <x v="0"/>
    <x v="1"/>
    <n v="0"/>
    <n v="177.2"/>
    <n v="91"/>
    <n v="30.12"/>
    <n v="228.7"/>
    <n v="105"/>
    <n v="19.440000000000001"/>
    <n v="194.3"/>
    <n v="113"/>
    <n v="8.74"/>
    <x v="56"/>
    <x v="0"/>
    <x v="56"/>
    <x v="2"/>
    <x v="0"/>
  </r>
  <r>
    <s v="KY"/>
    <x v="65"/>
    <s v="area_code_415"/>
    <x v="0"/>
    <x v="0"/>
    <n v="35"/>
    <n v="169.8"/>
    <n v="136"/>
    <n v="28.87"/>
    <n v="173.7"/>
    <n v="101"/>
    <n v="14.76"/>
    <n v="214.6"/>
    <n v="105"/>
    <n v="9.66"/>
    <x v="17"/>
    <x v="2"/>
    <x v="17"/>
    <x v="2"/>
    <x v="0"/>
  </r>
  <r>
    <s v="NM"/>
    <x v="78"/>
    <s v="area_code_415"/>
    <x v="0"/>
    <x v="1"/>
    <n v="0"/>
    <n v="173.5"/>
    <n v="83"/>
    <n v="29.5"/>
    <n v="244.3"/>
    <n v="65"/>
    <n v="20.77"/>
    <n v="221.6"/>
    <n v="66"/>
    <n v="9.9700000000000006"/>
    <x v="84"/>
    <x v="5"/>
    <x v="84"/>
    <x v="3"/>
    <x v="0"/>
  </r>
  <r>
    <s v="ND"/>
    <x v="86"/>
    <s v="area_code_510"/>
    <x v="0"/>
    <x v="1"/>
    <n v="0"/>
    <n v="159.9"/>
    <n v="100"/>
    <n v="27.18"/>
    <n v="172.2"/>
    <n v="99"/>
    <n v="14.64"/>
    <n v="263.2"/>
    <n v="109"/>
    <n v="11.84"/>
    <x v="113"/>
    <x v="4"/>
    <x v="113"/>
    <x v="0"/>
    <x v="0"/>
  </r>
  <r>
    <s v="NV"/>
    <x v="52"/>
    <s v="area_code_415"/>
    <x v="0"/>
    <x v="1"/>
    <n v="0"/>
    <n v="115.1"/>
    <n v="89"/>
    <n v="19.57"/>
    <n v="196.8"/>
    <n v="111"/>
    <n v="16.73"/>
    <n v="212.4"/>
    <n v="98"/>
    <n v="9.56"/>
    <x v="37"/>
    <x v="0"/>
    <x v="37"/>
    <x v="2"/>
    <x v="0"/>
  </r>
  <r>
    <s v="ID"/>
    <x v="171"/>
    <s v="area_code_415"/>
    <x v="0"/>
    <x v="1"/>
    <n v="0"/>
    <n v="92.2"/>
    <n v="108"/>
    <n v="15.67"/>
    <n v="211.2"/>
    <n v="120"/>
    <n v="17.95"/>
    <n v="129.1"/>
    <n v="73"/>
    <n v="5.81"/>
    <x v="67"/>
    <x v="3"/>
    <x v="67"/>
    <x v="0"/>
    <x v="0"/>
  </r>
  <r>
    <s v="IA"/>
    <x v="25"/>
    <s v="area_code_510"/>
    <x v="0"/>
    <x v="1"/>
    <n v="0"/>
    <n v="117.1"/>
    <n v="94"/>
    <n v="19.91"/>
    <n v="235.4"/>
    <n v="117"/>
    <n v="20.010000000000002"/>
    <n v="221.3"/>
    <n v="108"/>
    <n v="9.9600000000000009"/>
    <x v="62"/>
    <x v="5"/>
    <x v="62"/>
    <x v="1"/>
    <x v="0"/>
  </r>
  <r>
    <s v="OH"/>
    <x v="118"/>
    <s v="area_code_415"/>
    <x v="0"/>
    <x v="1"/>
    <n v="0"/>
    <n v="223.3"/>
    <n v="99"/>
    <n v="37.96"/>
    <n v="167.1"/>
    <n v="128"/>
    <n v="14.2"/>
    <n v="203"/>
    <n v="84"/>
    <n v="9.14"/>
    <x v="141"/>
    <x v="4"/>
    <x v="141"/>
    <x v="1"/>
    <x v="1"/>
  </r>
  <r>
    <s v="NJ"/>
    <x v="194"/>
    <s v="area_code_510"/>
    <x v="0"/>
    <x v="1"/>
    <n v="0"/>
    <n v="154.80000000000001"/>
    <n v="111"/>
    <n v="26.32"/>
    <n v="171.5"/>
    <n v="102"/>
    <n v="14.58"/>
    <n v="227.3"/>
    <n v="86"/>
    <n v="10.23"/>
    <x v="15"/>
    <x v="5"/>
    <x v="15"/>
    <x v="3"/>
    <x v="0"/>
  </r>
  <r>
    <s v="IA"/>
    <x v="40"/>
    <s v="area_code_510"/>
    <x v="0"/>
    <x v="1"/>
    <n v="0"/>
    <n v="261.39999999999998"/>
    <n v="141"/>
    <n v="44.44"/>
    <n v="215.7"/>
    <n v="102"/>
    <n v="18.329999999999998"/>
    <n v="271.8"/>
    <n v="96"/>
    <n v="12.23"/>
    <x v="40"/>
    <x v="3"/>
    <x v="40"/>
    <x v="0"/>
    <x v="1"/>
  </r>
  <r>
    <s v="DE"/>
    <x v="51"/>
    <s v="area_code_510"/>
    <x v="1"/>
    <x v="1"/>
    <n v="0"/>
    <n v="46.5"/>
    <n v="104"/>
    <n v="7.91"/>
    <n v="186"/>
    <n v="114"/>
    <n v="15.81"/>
    <n v="167.5"/>
    <n v="95"/>
    <n v="7.54"/>
    <x v="63"/>
    <x v="4"/>
    <x v="63"/>
    <x v="4"/>
    <x v="1"/>
  </r>
  <r>
    <s v="CA"/>
    <x v="78"/>
    <s v="area_code_415"/>
    <x v="0"/>
    <x v="0"/>
    <n v="18"/>
    <n v="149.9"/>
    <n v="84"/>
    <n v="25.48"/>
    <n v="170.9"/>
    <n v="84"/>
    <n v="14.53"/>
    <n v="171.5"/>
    <n v="112"/>
    <n v="7.72"/>
    <x v="73"/>
    <x v="2"/>
    <x v="73"/>
    <x v="1"/>
    <x v="1"/>
  </r>
  <r>
    <s v="WY"/>
    <x v="76"/>
    <s v="area_code_510"/>
    <x v="1"/>
    <x v="1"/>
    <n v="0"/>
    <n v="242.2"/>
    <n v="102"/>
    <n v="41.17"/>
    <n v="226.1"/>
    <n v="80"/>
    <n v="19.22"/>
    <n v="252"/>
    <n v="96"/>
    <n v="11.34"/>
    <x v="55"/>
    <x v="1"/>
    <x v="55"/>
    <x v="2"/>
    <x v="1"/>
  </r>
  <r>
    <s v="ME"/>
    <x v="63"/>
    <s v="area_code_415"/>
    <x v="0"/>
    <x v="1"/>
    <n v="0"/>
    <n v="222.4"/>
    <n v="102"/>
    <n v="37.81"/>
    <n v="185.8"/>
    <n v="89"/>
    <n v="15.79"/>
    <n v="237.7"/>
    <n v="81"/>
    <n v="10.7"/>
    <x v="42"/>
    <x v="10"/>
    <x v="42"/>
    <x v="2"/>
    <x v="0"/>
  </r>
  <r>
    <s v="AR"/>
    <x v="11"/>
    <s v="area_code_415"/>
    <x v="0"/>
    <x v="1"/>
    <n v="0"/>
    <n v="69.400000000000006"/>
    <n v="79"/>
    <n v="11.8"/>
    <n v="190.8"/>
    <n v="109"/>
    <n v="16.22"/>
    <n v="219.9"/>
    <n v="102"/>
    <n v="9.9"/>
    <x v="56"/>
    <x v="1"/>
    <x v="56"/>
    <x v="1"/>
    <x v="0"/>
  </r>
  <r>
    <s v="WV"/>
    <x v="48"/>
    <s v="area_code_415"/>
    <x v="0"/>
    <x v="1"/>
    <n v="0"/>
    <n v="61.2"/>
    <n v="111"/>
    <n v="10.4"/>
    <n v="92.3"/>
    <n v="88"/>
    <n v="7.85"/>
    <n v="197.4"/>
    <n v="114"/>
    <n v="8.8800000000000008"/>
    <x v="0"/>
    <x v="0"/>
    <x v="0"/>
    <x v="5"/>
    <x v="1"/>
  </r>
  <r>
    <s v="PA"/>
    <x v="59"/>
    <s v="area_code_408"/>
    <x v="1"/>
    <x v="1"/>
    <n v="0"/>
    <n v="245.2"/>
    <n v="112"/>
    <n v="41.68"/>
    <n v="101.5"/>
    <n v="101"/>
    <n v="8.6300000000000008"/>
    <n v="152.30000000000001"/>
    <n v="116"/>
    <n v="6.85"/>
    <x v="85"/>
    <x v="1"/>
    <x v="85"/>
    <x v="1"/>
    <x v="0"/>
  </r>
  <r>
    <s v="DC"/>
    <x v="40"/>
    <s v="area_code_510"/>
    <x v="1"/>
    <x v="1"/>
    <n v="0"/>
    <n v="227.4"/>
    <n v="105"/>
    <n v="38.659999999999997"/>
    <n v="211.5"/>
    <n v="120"/>
    <n v="17.98"/>
    <n v="258.2"/>
    <n v="113"/>
    <n v="11.62"/>
    <x v="78"/>
    <x v="0"/>
    <x v="78"/>
    <x v="1"/>
    <x v="0"/>
  </r>
  <r>
    <s v="AR"/>
    <x v="20"/>
    <s v="area_code_510"/>
    <x v="0"/>
    <x v="1"/>
    <n v="0"/>
    <n v="192.8"/>
    <n v="68"/>
    <n v="32.78"/>
    <n v="158"/>
    <n v="86"/>
    <n v="13.43"/>
    <n v="235.5"/>
    <n v="105"/>
    <n v="10.6"/>
    <x v="8"/>
    <x v="3"/>
    <x v="8"/>
    <x v="0"/>
    <x v="0"/>
  </r>
  <r>
    <s v="MS"/>
    <x v="141"/>
    <s v="area_code_408"/>
    <x v="0"/>
    <x v="1"/>
    <n v="0"/>
    <n v="162.6"/>
    <n v="98"/>
    <n v="27.64"/>
    <n v="206.2"/>
    <n v="109"/>
    <n v="17.53"/>
    <n v="141.6"/>
    <n v="66"/>
    <n v="6.37"/>
    <x v="45"/>
    <x v="5"/>
    <x v="45"/>
    <x v="0"/>
    <x v="0"/>
  </r>
  <r>
    <s v="MD"/>
    <x v="147"/>
    <s v="area_code_415"/>
    <x v="0"/>
    <x v="1"/>
    <n v="0"/>
    <n v="271.10000000000002"/>
    <n v="80"/>
    <n v="46.09"/>
    <n v="172"/>
    <n v="133"/>
    <n v="14.62"/>
    <n v="169.2"/>
    <n v="105"/>
    <n v="7.61"/>
    <x v="19"/>
    <x v="1"/>
    <x v="19"/>
    <x v="0"/>
    <x v="0"/>
  </r>
  <r>
    <s v="CT"/>
    <x v="0"/>
    <s v="area_code_408"/>
    <x v="0"/>
    <x v="1"/>
    <n v="0"/>
    <n v="103.4"/>
    <n v="94"/>
    <n v="17.579999999999998"/>
    <n v="189.3"/>
    <n v="125"/>
    <n v="16.09"/>
    <n v="227.2"/>
    <n v="125"/>
    <n v="10.220000000000001"/>
    <x v="90"/>
    <x v="0"/>
    <x v="90"/>
    <x v="0"/>
    <x v="0"/>
  </r>
  <r>
    <s v="SC"/>
    <x v="96"/>
    <s v="area_code_408"/>
    <x v="0"/>
    <x v="1"/>
    <n v="0"/>
    <n v="52.2"/>
    <n v="106"/>
    <n v="8.8699999999999992"/>
    <n v="220.1"/>
    <n v="113"/>
    <n v="18.71"/>
    <n v="112.3"/>
    <n v="95"/>
    <n v="5.05"/>
    <x v="37"/>
    <x v="5"/>
    <x v="37"/>
    <x v="2"/>
    <x v="0"/>
  </r>
  <r>
    <s v="MI"/>
    <x v="195"/>
    <s v="area_code_415"/>
    <x v="0"/>
    <x v="1"/>
    <n v="0"/>
    <n v="165.4"/>
    <n v="106"/>
    <n v="28.12"/>
    <n v="273.7"/>
    <n v="109"/>
    <n v="23.26"/>
    <n v="210"/>
    <n v="93"/>
    <n v="9.4499999999999993"/>
    <x v="6"/>
    <x v="0"/>
    <x v="6"/>
    <x v="1"/>
    <x v="1"/>
  </r>
  <r>
    <s v="SD"/>
    <x v="3"/>
    <s v="area_code_408"/>
    <x v="0"/>
    <x v="1"/>
    <n v="0"/>
    <n v="147.5"/>
    <n v="110"/>
    <n v="25.08"/>
    <n v="191.7"/>
    <n v="97"/>
    <n v="16.29"/>
    <n v="135"/>
    <n v="68"/>
    <n v="6.08"/>
    <x v="123"/>
    <x v="0"/>
    <x v="123"/>
    <x v="2"/>
    <x v="0"/>
  </r>
  <r>
    <s v="CO"/>
    <x v="112"/>
    <s v="area_code_415"/>
    <x v="0"/>
    <x v="1"/>
    <n v="0"/>
    <n v="217.8"/>
    <n v="93"/>
    <n v="37.03"/>
    <n v="214.7"/>
    <n v="95"/>
    <n v="18.25"/>
    <n v="228.7"/>
    <n v="70"/>
    <n v="10.29"/>
    <x v="61"/>
    <x v="2"/>
    <x v="61"/>
    <x v="1"/>
    <x v="0"/>
  </r>
  <r>
    <s v="ID"/>
    <x v="162"/>
    <s v="area_code_415"/>
    <x v="0"/>
    <x v="1"/>
    <n v="0"/>
    <n v="235.7"/>
    <n v="79"/>
    <n v="40.07"/>
    <n v="136.9"/>
    <n v="85"/>
    <n v="11.64"/>
    <n v="220.9"/>
    <n v="97"/>
    <n v="9.94"/>
    <x v="64"/>
    <x v="11"/>
    <x v="64"/>
    <x v="0"/>
    <x v="0"/>
  </r>
  <r>
    <s v="AZ"/>
    <x v="66"/>
    <s v="area_code_510"/>
    <x v="0"/>
    <x v="0"/>
    <n v="22"/>
    <n v="204.5"/>
    <n v="92"/>
    <n v="34.770000000000003"/>
    <n v="139.6"/>
    <n v="121"/>
    <n v="11.87"/>
    <n v="205"/>
    <n v="103"/>
    <n v="9.23"/>
    <x v="53"/>
    <x v="1"/>
    <x v="53"/>
    <x v="2"/>
    <x v="0"/>
  </r>
  <r>
    <s v="FL"/>
    <x v="96"/>
    <s v="area_code_408"/>
    <x v="0"/>
    <x v="1"/>
    <n v="0"/>
    <n v="178.4"/>
    <n v="143"/>
    <n v="30.33"/>
    <n v="247"/>
    <n v="123"/>
    <n v="21"/>
    <n v="259.89999999999998"/>
    <n v="105"/>
    <n v="11.7"/>
    <x v="63"/>
    <x v="5"/>
    <x v="63"/>
    <x v="1"/>
    <x v="0"/>
  </r>
  <r>
    <s v="MN"/>
    <x v="36"/>
    <s v="area_code_415"/>
    <x v="0"/>
    <x v="0"/>
    <n v="32"/>
    <n v="130.1"/>
    <n v="68"/>
    <n v="22.12"/>
    <n v="247.2"/>
    <n v="77"/>
    <n v="21.01"/>
    <n v="289.39999999999998"/>
    <n v="87"/>
    <n v="13.02"/>
    <x v="88"/>
    <x v="1"/>
    <x v="88"/>
    <x v="2"/>
    <x v="0"/>
  </r>
  <r>
    <s v="DE"/>
    <x v="134"/>
    <s v="area_code_415"/>
    <x v="0"/>
    <x v="0"/>
    <n v="34"/>
    <n v="103.7"/>
    <n v="100"/>
    <n v="17.63"/>
    <n v="236.3"/>
    <n v="78"/>
    <n v="20.09"/>
    <n v="256.60000000000002"/>
    <n v="102"/>
    <n v="11.55"/>
    <x v="102"/>
    <x v="4"/>
    <x v="102"/>
    <x v="2"/>
    <x v="0"/>
  </r>
  <r>
    <s v="MI"/>
    <x v="29"/>
    <s v="area_code_415"/>
    <x v="0"/>
    <x v="1"/>
    <n v="0"/>
    <n v="239.9"/>
    <n v="91"/>
    <n v="40.78"/>
    <n v="177.1"/>
    <n v="104"/>
    <n v="15.05"/>
    <n v="217.2"/>
    <n v="118"/>
    <n v="9.77"/>
    <x v="96"/>
    <x v="0"/>
    <x v="96"/>
    <x v="2"/>
    <x v="0"/>
  </r>
  <r>
    <s v="MS"/>
    <x v="58"/>
    <s v="area_code_408"/>
    <x v="0"/>
    <x v="1"/>
    <n v="0"/>
    <n v="148.4"/>
    <n v="110"/>
    <n v="25.23"/>
    <n v="267.10000000000002"/>
    <n v="90"/>
    <n v="22.7"/>
    <n v="151.5"/>
    <n v="101"/>
    <n v="6.82"/>
    <x v="56"/>
    <x v="4"/>
    <x v="56"/>
    <x v="1"/>
    <x v="0"/>
  </r>
  <r>
    <s v="MA"/>
    <x v="62"/>
    <s v="area_code_408"/>
    <x v="0"/>
    <x v="1"/>
    <n v="0"/>
    <n v="148.6"/>
    <n v="106"/>
    <n v="25.26"/>
    <n v="210.8"/>
    <n v="65"/>
    <n v="17.920000000000002"/>
    <n v="203.7"/>
    <n v="86"/>
    <n v="9.17"/>
    <x v="13"/>
    <x v="5"/>
    <x v="13"/>
    <x v="2"/>
    <x v="0"/>
  </r>
  <r>
    <s v="CA"/>
    <x v="167"/>
    <s v="area_code_415"/>
    <x v="0"/>
    <x v="1"/>
    <n v="0"/>
    <n v="191.1"/>
    <n v="69"/>
    <n v="32.49"/>
    <n v="129.19999999999999"/>
    <n v="113"/>
    <n v="10.98"/>
    <n v="207.5"/>
    <n v="117"/>
    <n v="9.34"/>
    <x v="89"/>
    <x v="8"/>
    <x v="89"/>
    <x v="1"/>
    <x v="0"/>
  </r>
  <r>
    <s v="MN"/>
    <x v="12"/>
    <s v="area_code_415"/>
    <x v="0"/>
    <x v="0"/>
    <n v="39"/>
    <n v="218.5"/>
    <n v="76"/>
    <n v="37.15"/>
    <n v="112.7"/>
    <n v="94"/>
    <n v="9.58"/>
    <n v="205.1"/>
    <n v="121"/>
    <n v="9.23"/>
    <x v="48"/>
    <x v="4"/>
    <x v="48"/>
    <x v="0"/>
    <x v="0"/>
  </r>
  <r>
    <s v="VT"/>
    <x v="1"/>
    <s v="area_code_510"/>
    <x v="0"/>
    <x v="1"/>
    <n v="0"/>
    <n v="97.5"/>
    <n v="95"/>
    <n v="16.579999999999998"/>
    <n v="195.8"/>
    <n v="82"/>
    <n v="16.64"/>
    <n v="288.8"/>
    <n v="78"/>
    <n v="13"/>
    <x v="77"/>
    <x v="13"/>
    <x v="77"/>
    <x v="0"/>
    <x v="0"/>
  </r>
  <r>
    <s v="CT"/>
    <x v="106"/>
    <s v="area_code_415"/>
    <x v="0"/>
    <x v="1"/>
    <n v="0"/>
    <n v="128.69999999999999"/>
    <n v="126"/>
    <n v="21.88"/>
    <n v="117.6"/>
    <n v="94"/>
    <n v="10"/>
    <n v="198.4"/>
    <n v="132"/>
    <n v="8.93"/>
    <x v="81"/>
    <x v="1"/>
    <x v="81"/>
    <x v="1"/>
    <x v="0"/>
  </r>
  <r>
    <s v="WV"/>
    <x v="62"/>
    <s v="area_code_415"/>
    <x v="0"/>
    <x v="0"/>
    <n v="38"/>
    <n v="236.6"/>
    <n v="69"/>
    <n v="40.22"/>
    <n v="197.5"/>
    <n v="68"/>
    <n v="16.79"/>
    <n v="209.5"/>
    <n v="102"/>
    <n v="9.43"/>
    <x v="17"/>
    <x v="11"/>
    <x v="17"/>
    <x v="2"/>
    <x v="0"/>
  </r>
  <r>
    <s v="WV"/>
    <x v="60"/>
    <s v="area_code_415"/>
    <x v="0"/>
    <x v="1"/>
    <n v="0"/>
    <n v="85.9"/>
    <n v="113"/>
    <n v="14.6"/>
    <n v="226.7"/>
    <n v="91"/>
    <n v="19.27"/>
    <n v="279.60000000000002"/>
    <n v="110"/>
    <n v="12.58"/>
    <x v="95"/>
    <x v="18"/>
    <x v="95"/>
    <x v="1"/>
    <x v="0"/>
  </r>
  <r>
    <s v="NE"/>
    <x v="102"/>
    <s v="area_code_415"/>
    <x v="0"/>
    <x v="0"/>
    <n v="27"/>
    <n v="141.19999999999999"/>
    <n v="96"/>
    <n v="24"/>
    <n v="167.7"/>
    <n v="94"/>
    <n v="14.25"/>
    <n v="274.39999999999998"/>
    <n v="101"/>
    <n v="12.35"/>
    <x v="37"/>
    <x v="5"/>
    <x v="37"/>
    <x v="0"/>
    <x v="0"/>
  </r>
  <r>
    <s v="NC"/>
    <x v="15"/>
    <s v="area_code_415"/>
    <x v="0"/>
    <x v="0"/>
    <n v="31"/>
    <n v="194.4"/>
    <n v="104"/>
    <n v="33.049999999999997"/>
    <n v="176"/>
    <n v="84"/>
    <n v="14.96"/>
    <n v="230.1"/>
    <n v="110"/>
    <n v="10.35"/>
    <x v="73"/>
    <x v="0"/>
    <x v="73"/>
    <x v="1"/>
    <x v="0"/>
  </r>
  <r>
    <s v="NE"/>
    <x v="126"/>
    <s v="area_code_415"/>
    <x v="0"/>
    <x v="1"/>
    <n v="0"/>
    <n v="167.6"/>
    <n v="100"/>
    <n v="28.49"/>
    <n v="154.5"/>
    <n v="90"/>
    <n v="13.13"/>
    <n v="281.39999999999998"/>
    <n v="107"/>
    <n v="12.66"/>
    <x v="143"/>
    <x v="0"/>
    <x v="143"/>
    <x v="2"/>
    <x v="0"/>
  </r>
  <r>
    <s v="IL"/>
    <x v="92"/>
    <s v="area_code_408"/>
    <x v="0"/>
    <x v="1"/>
    <n v="0"/>
    <n v="234.5"/>
    <n v="134"/>
    <n v="39.869999999999997"/>
    <n v="164.2"/>
    <n v="94"/>
    <n v="13.96"/>
    <n v="191.4"/>
    <n v="72"/>
    <n v="8.61"/>
    <x v="49"/>
    <x v="4"/>
    <x v="49"/>
    <x v="0"/>
    <x v="0"/>
  </r>
  <r>
    <s v="MA"/>
    <x v="20"/>
    <s v="area_code_510"/>
    <x v="0"/>
    <x v="1"/>
    <n v="0"/>
    <n v="154.19999999999999"/>
    <n v="78"/>
    <n v="26.21"/>
    <n v="196.7"/>
    <n v="85"/>
    <n v="16.72"/>
    <n v="253.5"/>
    <n v="97"/>
    <n v="11.41"/>
    <x v="3"/>
    <x v="6"/>
    <x v="3"/>
    <x v="0"/>
    <x v="0"/>
  </r>
  <r>
    <s v="AZ"/>
    <x v="76"/>
    <s v="area_code_415"/>
    <x v="0"/>
    <x v="0"/>
    <n v="14"/>
    <n v="143.19999999999999"/>
    <n v="99"/>
    <n v="24.34"/>
    <n v="169.9"/>
    <n v="91"/>
    <n v="14.44"/>
    <n v="221.6"/>
    <n v="77"/>
    <n v="9.9700000000000006"/>
    <x v="43"/>
    <x v="8"/>
    <x v="43"/>
    <x v="0"/>
    <x v="0"/>
  </r>
  <r>
    <s v="SD"/>
    <x v="66"/>
    <s v="area_code_415"/>
    <x v="1"/>
    <x v="0"/>
    <n v="40"/>
    <n v="216.4"/>
    <n v="80"/>
    <n v="36.79"/>
    <n v="249.7"/>
    <n v="90"/>
    <n v="21.22"/>
    <n v="185.9"/>
    <n v="99"/>
    <n v="8.3699999999999992"/>
    <x v="8"/>
    <x v="4"/>
    <x v="8"/>
    <x v="0"/>
    <x v="0"/>
  </r>
  <r>
    <s v="MT"/>
    <x v="111"/>
    <s v="area_code_510"/>
    <x v="0"/>
    <x v="0"/>
    <n v="35"/>
    <n v="161.9"/>
    <n v="85"/>
    <n v="27.52"/>
    <n v="151.19999999999999"/>
    <n v="82"/>
    <n v="12.85"/>
    <n v="191"/>
    <n v="131"/>
    <n v="8.59"/>
    <x v="31"/>
    <x v="5"/>
    <x v="31"/>
    <x v="0"/>
    <x v="0"/>
  </r>
  <r>
    <s v="VT"/>
    <x v="60"/>
    <s v="area_code_408"/>
    <x v="0"/>
    <x v="1"/>
    <n v="0"/>
    <n v="118.7"/>
    <n v="90"/>
    <n v="20.18"/>
    <n v="205.1"/>
    <n v="57"/>
    <n v="17.43"/>
    <n v="172.2"/>
    <n v="100"/>
    <n v="7.75"/>
    <x v="91"/>
    <x v="3"/>
    <x v="91"/>
    <x v="3"/>
    <x v="0"/>
  </r>
  <r>
    <s v="UT"/>
    <x v="108"/>
    <s v="area_code_408"/>
    <x v="0"/>
    <x v="1"/>
    <n v="0"/>
    <n v="179.1"/>
    <n v="123"/>
    <n v="30.45"/>
    <n v="196.6"/>
    <n v="132"/>
    <n v="16.71"/>
    <n v="186.7"/>
    <n v="116"/>
    <n v="8.4"/>
    <x v="39"/>
    <x v="11"/>
    <x v="39"/>
    <x v="0"/>
    <x v="0"/>
  </r>
  <r>
    <s v="HI"/>
    <x v="96"/>
    <s v="area_code_415"/>
    <x v="0"/>
    <x v="1"/>
    <n v="0"/>
    <n v="147.9"/>
    <n v="97"/>
    <n v="25.14"/>
    <n v="209.3"/>
    <n v="99"/>
    <n v="17.79"/>
    <n v="162.1"/>
    <n v="80"/>
    <n v="7.29"/>
    <x v="82"/>
    <x v="1"/>
    <x v="82"/>
    <x v="2"/>
    <x v="0"/>
  </r>
  <r>
    <s v="DC"/>
    <x v="88"/>
    <s v="area_code_415"/>
    <x v="0"/>
    <x v="0"/>
    <n v="38"/>
    <n v="209.2"/>
    <n v="110"/>
    <n v="35.56"/>
    <n v="116.6"/>
    <n v="73"/>
    <n v="9.91"/>
    <n v="109.6"/>
    <n v="105"/>
    <n v="4.93"/>
    <x v="116"/>
    <x v="4"/>
    <x v="116"/>
    <x v="2"/>
    <x v="0"/>
  </r>
  <r>
    <s v="WI"/>
    <x v="64"/>
    <s v="area_code_415"/>
    <x v="0"/>
    <x v="0"/>
    <n v="29"/>
    <n v="244.3"/>
    <n v="140"/>
    <n v="41.53"/>
    <n v="322.3"/>
    <n v="89"/>
    <n v="27.4"/>
    <n v="166.8"/>
    <n v="83"/>
    <n v="7.51"/>
    <x v="15"/>
    <x v="3"/>
    <x v="15"/>
    <x v="1"/>
    <x v="0"/>
  </r>
  <r>
    <s v="UT"/>
    <x v="75"/>
    <s v="area_code_415"/>
    <x v="0"/>
    <x v="0"/>
    <n v="34"/>
    <n v="175.3"/>
    <n v="96"/>
    <n v="29.8"/>
    <n v="262.3"/>
    <n v="122"/>
    <n v="22.3"/>
    <n v="143.9"/>
    <n v="76"/>
    <n v="6.48"/>
    <x v="113"/>
    <x v="12"/>
    <x v="113"/>
    <x v="0"/>
    <x v="0"/>
  </r>
  <r>
    <s v="WA"/>
    <x v="112"/>
    <s v="area_code_510"/>
    <x v="0"/>
    <x v="1"/>
    <n v="0"/>
    <n v="150.5"/>
    <n v="92"/>
    <n v="25.59"/>
    <n v="120.3"/>
    <n v="95"/>
    <n v="10.23"/>
    <n v="271.2"/>
    <n v="96"/>
    <n v="12.2"/>
    <x v="62"/>
    <x v="5"/>
    <x v="62"/>
    <x v="0"/>
    <x v="0"/>
  </r>
  <r>
    <s v="MT"/>
    <x v="60"/>
    <s v="area_code_510"/>
    <x v="0"/>
    <x v="1"/>
    <n v="0"/>
    <n v="163.5"/>
    <n v="136"/>
    <n v="27.8"/>
    <n v="143.69999999999999"/>
    <n v="111"/>
    <n v="12.21"/>
    <n v="253.4"/>
    <n v="82"/>
    <n v="11.4"/>
    <x v="44"/>
    <x v="1"/>
    <x v="44"/>
    <x v="0"/>
    <x v="0"/>
  </r>
  <r>
    <s v="NJ"/>
    <x v="13"/>
    <s v="area_code_415"/>
    <x v="0"/>
    <x v="1"/>
    <n v="0"/>
    <n v="236.9"/>
    <n v="93"/>
    <n v="40.270000000000003"/>
    <n v="197.7"/>
    <n v="113"/>
    <n v="16.8"/>
    <n v="309.10000000000002"/>
    <n v="78"/>
    <n v="13.91"/>
    <x v="37"/>
    <x v="2"/>
    <x v="37"/>
    <x v="2"/>
    <x v="1"/>
  </r>
  <r>
    <s v="CT"/>
    <x v="121"/>
    <s v="area_code_415"/>
    <x v="0"/>
    <x v="1"/>
    <n v="0"/>
    <n v="82.3"/>
    <n v="77"/>
    <n v="13.99"/>
    <n v="167.2"/>
    <n v="80"/>
    <n v="14.21"/>
    <n v="194.7"/>
    <n v="70"/>
    <n v="8.76"/>
    <x v="68"/>
    <x v="4"/>
    <x v="68"/>
    <x v="0"/>
    <x v="0"/>
  </r>
  <r>
    <s v="VA"/>
    <x v="59"/>
    <s v="area_code_415"/>
    <x v="0"/>
    <x v="1"/>
    <n v="0"/>
    <n v="216"/>
    <n v="111"/>
    <n v="36.72"/>
    <n v="153.69999999999999"/>
    <n v="115"/>
    <n v="13.06"/>
    <n v="227"/>
    <n v="74"/>
    <n v="10.220000000000001"/>
    <x v="8"/>
    <x v="4"/>
    <x v="8"/>
    <x v="0"/>
    <x v="0"/>
  </r>
  <r>
    <s v="NC"/>
    <x v="85"/>
    <s v="area_code_415"/>
    <x v="1"/>
    <x v="1"/>
    <n v="0"/>
    <n v="180"/>
    <n v="119"/>
    <n v="30.6"/>
    <n v="198.8"/>
    <n v="126"/>
    <n v="16.899999999999999"/>
    <n v="217.1"/>
    <n v="70"/>
    <n v="9.77"/>
    <x v="70"/>
    <x v="0"/>
    <x v="70"/>
    <x v="0"/>
    <x v="0"/>
  </r>
  <r>
    <s v="AK"/>
    <x v="14"/>
    <s v="area_code_415"/>
    <x v="0"/>
    <x v="1"/>
    <n v="0"/>
    <n v="143.69999999999999"/>
    <n v="55"/>
    <n v="24.43"/>
    <n v="173.1"/>
    <n v="108"/>
    <n v="14.71"/>
    <n v="239.1"/>
    <n v="95"/>
    <n v="10.76"/>
    <x v="41"/>
    <x v="3"/>
    <x v="41"/>
    <x v="0"/>
    <x v="0"/>
  </r>
  <r>
    <s v="IL"/>
    <x v="53"/>
    <s v="area_code_415"/>
    <x v="0"/>
    <x v="0"/>
    <n v="29"/>
    <n v="185.6"/>
    <n v="106"/>
    <n v="31.55"/>
    <n v="219.7"/>
    <n v="113"/>
    <n v="18.670000000000002"/>
    <n v="152.1"/>
    <n v="120"/>
    <n v="6.84"/>
    <x v="22"/>
    <x v="1"/>
    <x v="22"/>
    <x v="2"/>
    <x v="0"/>
  </r>
  <r>
    <s v="CT"/>
    <x v="150"/>
    <s v="area_code_408"/>
    <x v="0"/>
    <x v="1"/>
    <n v="0"/>
    <n v="137.6"/>
    <n v="108"/>
    <n v="23.39"/>
    <n v="162"/>
    <n v="80"/>
    <n v="13.77"/>
    <n v="187.7"/>
    <n v="126"/>
    <n v="8.4499999999999993"/>
    <x v="41"/>
    <x v="11"/>
    <x v="41"/>
    <x v="3"/>
    <x v="0"/>
  </r>
  <r>
    <s v="KS"/>
    <x v="102"/>
    <s v="area_code_415"/>
    <x v="1"/>
    <x v="1"/>
    <n v="0"/>
    <n v="273.89999999999998"/>
    <n v="119"/>
    <n v="46.56"/>
    <n v="278.60000000000002"/>
    <n v="103"/>
    <n v="23.68"/>
    <n v="255.3"/>
    <n v="90"/>
    <n v="11.49"/>
    <x v="54"/>
    <x v="2"/>
    <x v="54"/>
    <x v="0"/>
    <x v="1"/>
  </r>
  <r>
    <s v="MA"/>
    <x v="147"/>
    <s v="area_code_415"/>
    <x v="0"/>
    <x v="0"/>
    <n v="31"/>
    <n v="125.3"/>
    <n v="92"/>
    <n v="21.3"/>
    <n v="141.19999999999999"/>
    <n v="108"/>
    <n v="12"/>
    <n v="168.2"/>
    <n v="68"/>
    <n v="7.57"/>
    <x v="21"/>
    <x v="5"/>
    <x v="21"/>
    <x v="3"/>
    <x v="0"/>
  </r>
  <r>
    <s v="AR"/>
    <x v="69"/>
    <s v="area_code_510"/>
    <x v="0"/>
    <x v="0"/>
    <n v="49"/>
    <n v="214.9"/>
    <n v="86"/>
    <n v="36.53"/>
    <n v="198.2"/>
    <n v="89"/>
    <n v="16.850000000000001"/>
    <n v="170.8"/>
    <n v="139"/>
    <n v="7.69"/>
    <x v="45"/>
    <x v="1"/>
    <x v="45"/>
    <x v="1"/>
    <x v="0"/>
  </r>
  <r>
    <s v="MS"/>
    <x v="61"/>
    <s v="area_code_408"/>
    <x v="0"/>
    <x v="1"/>
    <n v="0"/>
    <n v="163"/>
    <n v="93"/>
    <n v="27.71"/>
    <n v="203.9"/>
    <n v="102"/>
    <n v="17.329999999999998"/>
    <n v="159"/>
    <n v="109"/>
    <n v="7.15"/>
    <x v="127"/>
    <x v="4"/>
    <x v="127"/>
    <x v="2"/>
    <x v="0"/>
  </r>
  <r>
    <s v="ND"/>
    <x v="55"/>
    <s v="area_code_415"/>
    <x v="0"/>
    <x v="0"/>
    <n v="29"/>
    <n v="163.80000000000001"/>
    <n v="77"/>
    <n v="27.85"/>
    <n v="134.9"/>
    <n v="112"/>
    <n v="11.47"/>
    <n v="79.3"/>
    <n v="95"/>
    <n v="3.57"/>
    <x v="82"/>
    <x v="5"/>
    <x v="82"/>
    <x v="2"/>
    <x v="0"/>
  </r>
  <r>
    <s v="IN"/>
    <x v="137"/>
    <s v="area_code_510"/>
    <x v="0"/>
    <x v="1"/>
    <n v="0"/>
    <n v="189.5"/>
    <n v="113"/>
    <n v="32.22"/>
    <n v="204.9"/>
    <n v="100"/>
    <n v="17.420000000000002"/>
    <n v="221.7"/>
    <n v="93"/>
    <n v="9.98"/>
    <x v="83"/>
    <x v="0"/>
    <x v="83"/>
    <x v="0"/>
    <x v="0"/>
  </r>
  <r>
    <s v="MI"/>
    <x v="85"/>
    <s v="area_code_415"/>
    <x v="0"/>
    <x v="0"/>
    <n v="26"/>
    <n v="155.19999999999999"/>
    <n v="110"/>
    <n v="26.38"/>
    <n v="230.9"/>
    <n v="133"/>
    <n v="19.63"/>
    <n v="261.60000000000002"/>
    <n v="100"/>
    <n v="11.77"/>
    <x v="141"/>
    <x v="4"/>
    <x v="141"/>
    <x v="1"/>
    <x v="0"/>
  </r>
  <r>
    <s v="VT"/>
    <x v="4"/>
    <s v="area_code_415"/>
    <x v="1"/>
    <x v="0"/>
    <n v="44"/>
    <n v="254.1"/>
    <n v="127"/>
    <n v="43.2"/>
    <n v="180.2"/>
    <n v="108"/>
    <n v="15.32"/>
    <n v="196.2"/>
    <n v="129"/>
    <n v="8.83"/>
    <x v="6"/>
    <x v="4"/>
    <x v="6"/>
    <x v="3"/>
    <x v="0"/>
  </r>
  <r>
    <s v="WV"/>
    <x v="21"/>
    <s v="area_code_510"/>
    <x v="0"/>
    <x v="0"/>
    <n v="33"/>
    <n v="112"/>
    <n v="90"/>
    <n v="19.04"/>
    <n v="208"/>
    <n v="112"/>
    <n v="17.68"/>
    <n v="150.30000000000001"/>
    <n v="83"/>
    <n v="6.76"/>
    <x v="61"/>
    <x v="4"/>
    <x v="61"/>
    <x v="2"/>
    <x v="0"/>
  </r>
  <r>
    <s v="ME"/>
    <x v="102"/>
    <s v="area_code_408"/>
    <x v="0"/>
    <x v="1"/>
    <n v="0"/>
    <n v="115.5"/>
    <n v="73"/>
    <n v="19.64"/>
    <n v="267.3"/>
    <n v="83"/>
    <n v="22.72"/>
    <n v="114.2"/>
    <n v="90"/>
    <n v="5.14"/>
    <x v="64"/>
    <x v="1"/>
    <x v="64"/>
    <x v="3"/>
    <x v="0"/>
  </r>
  <r>
    <s v="IA"/>
    <x v="15"/>
    <s v="area_code_415"/>
    <x v="0"/>
    <x v="1"/>
    <n v="0"/>
    <n v="137.1"/>
    <n v="102"/>
    <n v="23.31"/>
    <n v="210.8"/>
    <n v="114"/>
    <n v="17.920000000000002"/>
    <n v="191.4"/>
    <n v="120"/>
    <n v="8.61"/>
    <x v="22"/>
    <x v="4"/>
    <x v="22"/>
    <x v="0"/>
    <x v="0"/>
  </r>
  <r>
    <s v="CT"/>
    <x v="11"/>
    <s v="area_code_415"/>
    <x v="0"/>
    <x v="1"/>
    <n v="0"/>
    <n v="198.4"/>
    <n v="113"/>
    <n v="33.729999999999997"/>
    <n v="235.9"/>
    <n v="144"/>
    <n v="20.05"/>
    <n v="325.60000000000002"/>
    <n v="99"/>
    <n v="14.65"/>
    <x v="3"/>
    <x v="0"/>
    <x v="3"/>
    <x v="1"/>
    <x v="0"/>
  </r>
  <r>
    <s v="NM"/>
    <x v="138"/>
    <s v="area_code_415"/>
    <x v="0"/>
    <x v="0"/>
    <n v="19"/>
    <n v="132.69999999999999"/>
    <n v="94"/>
    <n v="22.56"/>
    <n v="204.6"/>
    <n v="101"/>
    <n v="17.39"/>
    <n v="154.69999999999999"/>
    <n v="78"/>
    <n v="6.96"/>
    <x v="89"/>
    <x v="2"/>
    <x v="89"/>
    <x v="3"/>
    <x v="0"/>
  </r>
  <r>
    <s v="OR"/>
    <x v="74"/>
    <s v="area_code_408"/>
    <x v="0"/>
    <x v="0"/>
    <n v="25"/>
    <n v="219.6"/>
    <n v="99"/>
    <n v="37.33"/>
    <n v="210.4"/>
    <n v="99"/>
    <n v="17.88"/>
    <n v="242.7"/>
    <n v="88"/>
    <n v="10.92"/>
    <x v="12"/>
    <x v="10"/>
    <x v="12"/>
    <x v="2"/>
    <x v="0"/>
  </r>
  <r>
    <s v="VT"/>
    <x v="20"/>
    <s v="area_code_415"/>
    <x v="0"/>
    <x v="1"/>
    <n v="0"/>
    <n v="169.6"/>
    <n v="96"/>
    <n v="28.83"/>
    <n v="234.7"/>
    <n v="112"/>
    <n v="19.95"/>
    <n v="285.39999999999998"/>
    <n v="83"/>
    <n v="12.84"/>
    <x v="7"/>
    <x v="4"/>
    <x v="7"/>
    <x v="1"/>
    <x v="0"/>
  </r>
  <r>
    <s v="RI"/>
    <x v="130"/>
    <s v="area_code_408"/>
    <x v="1"/>
    <x v="1"/>
    <n v="0"/>
    <n v="160.4"/>
    <n v="73"/>
    <n v="27.27"/>
    <n v="293.89999999999998"/>
    <n v="103"/>
    <n v="24.98"/>
    <n v="306.60000000000002"/>
    <n v="90"/>
    <n v="13.8"/>
    <x v="44"/>
    <x v="1"/>
    <x v="44"/>
    <x v="4"/>
    <x v="0"/>
  </r>
  <r>
    <s v="AL"/>
    <x v="11"/>
    <s v="area_code_415"/>
    <x v="0"/>
    <x v="1"/>
    <n v="0"/>
    <n v="194.6"/>
    <n v="114"/>
    <n v="33.08"/>
    <n v="232.8"/>
    <n v="106"/>
    <n v="19.79"/>
    <n v="173.4"/>
    <n v="92"/>
    <n v="7.8"/>
    <x v="136"/>
    <x v="5"/>
    <x v="136"/>
    <x v="3"/>
    <x v="0"/>
  </r>
  <r>
    <s v="CT"/>
    <x v="9"/>
    <s v="area_code_408"/>
    <x v="0"/>
    <x v="1"/>
    <n v="0"/>
    <n v="157.1"/>
    <n v="95"/>
    <n v="26.71"/>
    <n v="213.1"/>
    <n v="36"/>
    <n v="18.11"/>
    <n v="280.39999999999998"/>
    <n v="77"/>
    <n v="12.62"/>
    <x v="98"/>
    <x v="0"/>
    <x v="98"/>
    <x v="2"/>
    <x v="0"/>
  </r>
  <r>
    <s v="TN"/>
    <x v="93"/>
    <s v="area_code_415"/>
    <x v="0"/>
    <x v="1"/>
    <n v="0"/>
    <n v="179.8"/>
    <n v="125"/>
    <n v="30.57"/>
    <n v="173.2"/>
    <n v="86"/>
    <n v="14.72"/>
    <n v="272.8"/>
    <n v="97"/>
    <n v="12.28"/>
    <x v="54"/>
    <x v="4"/>
    <x v="54"/>
    <x v="1"/>
    <x v="0"/>
  </r>
  <r>
    <s v="ID"/>
    <x v="130"/>
    <s v="area_code_415"/>
    <x v="1"/>
    <x v="1"/>
    <n v="0"/>
    <n v="148.19999999999999"/>
    <n v="108"/>
    <n v="25.19"/>
    <n v="161.80000000000001"/>
    <n v="113"/>
    <n v="13.75"/>
    <n v="259.3"/>
    <n v="103"/>
    <n v="11.67"/>
    <x v="34"/>
    <x v="4"/>
    <x v="34"/>
    <x v="1"/>
    <x v="0"/>
  </r>
  <r>
    <s v="TX"/>
    <x v="144"/>
    <s v="area_code_415"/>
    <x v="0"/>
    <x v="0"/>
    <n v="39"/>
    <n v="183.2"/>
    <n v="103"/>
    <n v="31.14"/>
    <n v="209.4"/>
    <n v="111"/>
    <n v="17.8"/>
    <n v="172.4"/>
    <n v="109"/>
    <n v="7.76"/>
    <x v="78"/>
    <x v="3"/>
    <x v="78"/>
    <x v="0"/>
    <x v="0"/>
  </r>
  <r>
    <s v="NH"/>
    <x v="44"/>
    <s v="area_code_415"/>
    <x v="0"/>
    <x v="1"/>
    <n v="0"/>
    <n v="119.2"/>
    <n v="88"/>
    <n v="20.260000000000002"/>
    <n v="168.3"/>
    <n v="110"/>
    <n v="14.31"/>
    <n v="204.7"/>
    <n v="119"/>
    <n v="9.2100000000000009"/>
    <x v="1"/>
    <x v="3"/>
    <x v="1"/>
    <x v="4"/>
    <x v="1"/>
  </r>
  <r>
    <s v="ND"/>
    <x v="185"/>
    <s v="area_code_408"/>
    <x v="0"/>
    <x v="0"/>
    <n v="35"/>
    <n v="224"/>
    <n v="102"/>
    <n v="38.08"/>
    <n v="192"/>
    <n v="99"/>
    <n v="16.32"/>
    <n v="163.1"/>
    <n v="100"/>
    <n v="7.34"/>
    <x v="63"/>
    <x v="5"/>
    <x v="63"/>
    <x v="1"/>
    <x v="0"/>
  </r>
  <r>
    <s v="KS"/>
    <x v="6"/>
    <s v="area_code_415"/>
    <x v="0"/>
    <x v="1"/>
    <n v="0"/>
    <n v="184.8"/>
    <n v="83"/>
    <n v="31.42"/>
    <n v="248.6"/>
    <n v="101"/>
    <n v="21.13"/>
    <n v="133.1"/>
    <n v="113"/>
    <n v="5.99"/>
    <x v="63"/>
    <x v="10"/>
    <x v="63"/>
    <x v="0"/>
    <x v="0"/>
  </r>
  <r>
    <s v="ME"/>
    <x v="17"/>
    <s v="area_code_408"/>
    <x v="0"/>
    <x v="1"/>
    <n v="0"/>
    <n v="176.3"/>
    <n v="140"/>
    <n v="29.97"/>
    <n v="201"/>
    <n v="104"/>
    <n v="17.09"/>
    <n v="161.9"/>
    <n v="123"/>
    <n v="7.29"/>
    <x v="61"/>
    <x v="1"/>
    <x v="61"/>
    <x v="0"/>
    <x v="0"/>
  </r>
  <r>
    <s v="RI"/>
    <x v="15"/>
    <s v="area_code_415"/>
    <x v="0"/>
    <x v="1"/>
    <n v="0"/>
    <n v="241.7"/>
    <n v="115"/>
    <n v="41.09"/>
    <n v="168.5"/>
    <n v="133"/>
    <n v="14.32"/>
    <n v="169.8"/>
    <n v="122"/>
    <n v="7.64"/>
    <x v="22"/>
    <x v="5"/>
    <x v="22"/>
    <x v="2"/>
    <x v="0"/>
  </r>
  <r>
    <s v="WI"/>
    <x v="108"/>
    <s v="area_code_510"/>
    <x v="0"/>
    <x v="0"/>
    <n v="38"/>
    <n v="224.7"/>
    <n v="121"/>
    <n v="38.200000000000003"/>
    <n v="294"/>
    <n v="131"/>
    <n v="24.99"/>
    <n v="290"/>
    <n v="61"/>
    <n v="13.05"/>
    <x v="52"/>
    <x v="3"/>
    <x v="52"/>
    <x v="1"/>
    <x v="0"/>
  </r>
  <r>
    <s v="NC"/>
    <x v="44"/>
    <s v="area_code_510"/>
    <x v="0"/>
    <x v="1"/>
    <n v="0"/>
    <n v="207.3"/>
    <n v="115"/>
    <n v="35.24"/>
    <n v="198.4"/>
    <n v="82"/>
    <n v="16.86"/>
    <n v="114.1"/>
    <n v="83"/>
    <n v="5.13"/>
    <x v="53"/>
    <x v="4"/>
    <x v="53"/>
    <x v="0"/>
    <x v="0"/>
  </r>
  <r>
    <s v="OH"/>
    <x v="186"/>
    <s v="area_code_408"/>
    <x v="0"/>
    <x v="1"/>
    <n v="0"/>
    <n v="196.8"/>
    <n v="81"/>
    <n v="33.46"/>
    <n v="168"/>
    <n v="110"/>
    <n v="14.28"/>
    <n v="132.6"/>
    <n v="98"/>
    <n v="5.97"/>
    <x v="8"/>
    <x v="2"/>
    <x v="8"/>
    <x v="2"/>
    <x v="0"/>
  </r>
  <r>
    <s v="WY"/>
    <x v="100"/>
    <s v="area_code_510"/>
    <x v="0"/>
    <x v="1"/>
    <n v="0"/>
    <n v="110.9"/>
    <n v="74"/>
    <n v="18.850000000000001"/>
    <n v="115.6"/>
    <n v="90"/>
    <n v="9.83"/>
    <n v="190.5"/>
    <n v="114"/>
    <n v="8.57"/>
    <x v="74"/>
    <x v="6"/>
    <x v="74"/>
    <x v="0"/>
    <x v="0"/>
  </r>
  <r>
    <s v="NJ"/>
    <x v="160"/>
    <s v="area_code_510"/>
    <x v="0"/>
    <x v="1"/>
    <n v="0"/>
    <n v="122.5"/>
    <n v="145"/>
    <n v="20.83"/>
    <n v="273.3"/>
    <n v="103"/>
    <n v="23.23"/>
    <n v="197.8"/>
    <n v="71"/>
    <n v="8.9"/>
    <x v="40"/>
    <x v="0"/>
    <x v="40"/>
    <x v="2"/>
    <x v="0"/>
  </r>
  <r>
    <s v="WI"/>
    <x v="139"/>
    <s v="area_code_510"/>
    <x v="0"/>
    <x v="1"/>
    <n v="0"/>
    <n v="187"/>
    <n v="65"/>
    <n v="31.79"/>
    <n v="141.4"/>
    <n v="128"/>
    <n v="12.02"/>
    <n v="238.2"/>
    <n v="108"/>
    <n v="10.72"/>
    <x v="13"/>
    <x v="10"/>
    <x v="13"/>
    <x v="2"/>
    <x v="0"/>
  </r>
  <r>
    <s v="KY"/>
    <x v="126"/>
    <s v="area_code_415"/>
    <x v="0"/>
    <x v="1"/>
    <n v="0"/>
    <n v="170.5"/>
    <n v="113"/>
    <n v="28.99"/>
    <n v="193.2"/>
    <n v="129"/>
    <n v="16.420000000000002"/>
    <n v="188"/>
    <n v="91"/>
    <n v="8.4600000000000009"/>
    <x v="7"/>
    <x v="3"/>
    <x v="7"/>
    <x v="1"/>
    <x v="0"/>
  </r>
  <r>
    <s v="NY"/>
    <x v="137"/>
    <s v="area_code_415"/>
    <x v="0"/>
    <x v="1"/>
    <n v="0"/>
    <n v="204.8"/>
    <n v="101"/>
    <n v="34.82"/>
    <n v="161"/>
    <n v="80"/>
    <n v="13.69"/>
    <n v="285.7"/>
    <n v="89"/>
    <n v="12.86"/>
    <x v="17"/>
    <x v="0"/>
    <x v="17"/>
    <x v="1"/>
    <x v="0"/>
  </r>
  <r>
    <s v="AZ"/>
    <x v="103"/>
    <s v="area_code_510"/>
    <x v="0"/>
    <x v="1"/>
    <n v="0"/>
    <n v="154"/>
    <n v="133"/>
    <n v="26.18"/>
    <n v="198.9"/>
    <n v="121"/>
    <n v="16.91"/>
    <n v="151.9"/>
    <n v="100"/>
    <n v="6.84"/>
    <x v="17"/>
    <x v="0"/>
    <x v="17"/>
    <x v="4"/>
    <x v="1"/>
  </r>
  <r>
    <s v="CO"/>
    <x v="9"/>
    <s v="area_code_415"/>
    <x v="0"/>
    <x v="1"/>
    <n v="0"/>
    <n v="225.2"/>
    <n v="93"/>
    <n v="38.28"/>
    <n v="215.1"/>
    <n v="120"/>
    <n v="18.28"/>
    <n v="241.8"/>
    <n v="95"/>
    <n v="10.88"/>
    <x v="9"/>
    <x v="5"/>
    <x v="9"/>
    <x v="2"/>
    <x v="0"/>
  </r>
  <r>
    <s v="MD"/>
    <x v="43"/>
    <s v="area_code_408"/>
    <x v="0"/>
    <x v="1"/>
    <n v="0"/>
    <n v="159.4"/>
    <n v="79"/>
    <n v="27.1"/>
    <n v="179.5"/>
    <n v="88"/>
    <n v="15.26"/>
    <n v="167.8"/>
    <n v="71"/>
    <n v="7.55"/>
    <x v="84"/>
    <x v="5"/>
    <x v="84"/>
    <x v="8"/>
    <x v="1"/>
  </r>
  <r>
    <s v="AR"/>
    <x v="90"/>
    <s v="area_code_510"/>
    <x v="0"/>
    <x v="1"/>
    <n v="0"/>
    <n v="172.7"/>
    <n v="95"/>
    <n v="29.36"/>
    <n v="139.1"/>
    <n v="90"/>
    <n v="11.82"/>
    <n v="174.3"/>
    <n v="99"/>
    <n v="7.84"/>
    <x v="50"/>
    <x v="8"/>
    <x v="50"/>
    <x v="2"/>
    <x v="0"/>
  </r>
  <r>
    <s v="TN"/>
    <x v="90"/>
    <s v="area_code_415"/>
    <x v="0"/>
    <x v="1"/>
    <n v="0"/>
    <n v="222.8"/>
    <n v="99"/>
    <n v="37.880000000000003"/>
    <n v="175.8"/>
    <n v="85"/>
    <n v="14.94"/>
    <n v="202"/>
    <n v="111"/>
    <n v="9.09"/>
    <x v="34"/>
    <x v="0"/>
    <x v="34"/>
    <x v="3"/>
    <x v="0"/>
  </r>
  <r>
    <s v="DE"/>
    <x v="21"/>
    <s v="area_code_415"/>
    <x v="1"/>
    <x v="1"/>
    <n v="0"/>
    <n v="214.1"/>
    <n v="77"/>
    <n v="36.4"/>
    <n v="240.5"/>
    <n v="94"/>
    <n v="20.440000000000001"/>
    <n v="188.9"/>
    <n v="75"/>
    <n v="8.5"/>
    <x v="3"/>
    <x v="0"/>
    <x v="3"/>
    <x v="0"/>
    <x v="0"/>
  </r>
  <r>
    <s v="WI"/>
    <x v="0"/>
    <s v="area_code_408"/>
    <x v="0"/>
    <x v="1"/>
    <n v="0"/>
    <n v="134"/>
    <n v="104"/>
    <n v="22.78"/>
    <n v="174.5"/>
    <n v="94"/>
    <n v="14.83"/>
    <n v="311.10000000000002"/>
    <n v="79"/>
    <n v="14"/>
    <x v="48"/>
    <x v="0"/>
    <x v="48"/>
    <x v="3"/>
    <x v="0"/>
  </r>
  <r>
    <s v="WV"/>
    <x v="146"/>
    <s v="area_code_510"/>
    <x v="0"/>
    <x v="1"/>
    <n v="0"/>
    <n v="184.8"/>
    <n v="74"/>
    <n v="31.42"/>
    <n v="175.1"/>
    <n v="84"/>
    <n v="14.88"/>
    <n v="158.19999999999999"/>
    <n v="95"/>
    <n v="7.12"/>
    <x v="26"/>
    <x v="3"/>
    <x v="26"/>
    <x v="0"/>
    <x v="0"/>
  </r>
  <r>
    <s v="CT"/>
    <x v="11"/>
    <s v="area_code_415"/>
    <x v="0"/>
    <x v="0"/>
    <n v="36"/>
    <n v="283.10000000000002"/>
    <n v="112"/>
    <n v="48.13"/>
    <n v="286.2"/>
    <n v="86"/>
    <n v="24.33"/>
    <n v="261.7"/>
    <n v="129"/>
    <n v="11.78"/>
    <x v="61"/>
    <x v="0"/>
    <x v="61"/>
    <x v="3"/>
    <x v="0"/>
  </r>
  <r>
    <s v="MN"/>
    <x v="184"/>
    <s v="area_code_510"/>
    <x v="0"/>
    <x v="1"/>
    <n v="0"/>
    <n v="291.8"/>
    <n v="143"/>
    <n v="49.61"/>
    <n v="214.3"/>
    <n v="134"/>
    <n v="18.22"/>
    <n v="151.19999999999999"/>
    <n v="119"/>
    <n v="6.8"/>
    <x v="79"/>
    <x v="5"/>
    <x v="79"/>
    <x v="1"/>
    <x v="1"/>
  </r>
  <r>
    <s v="MO"/>
    <x v="77"/>
    <s v="area_code_408"/>
    <x v="0"/>
    <x v="1"/>
    <n v="0"/>
    <n v="222.7"/>
    <n v="94"/>
    <n v="37.86"/>
    <n v="105.8"/>
    <n v="98"/>
    <n v="8.99"/>
    <n v="214.8"/>
    <n v="78"/>
    <n v="9.67"/>
    <x v="88"/>
    <x v="4"/>
    <x v="88"/>
    <x v="0"/>
    <x v="0"/>
  </r>
  <r>
    <s v="VA"/>
    <x v="147"/>
    <s v="area_code_510"/>
    <x v="0"/>
    <x v="1"/>
    <n v="0"/>
    <n v="174.5"/>
    <n v="79"/>
    <n v="29.67"/>
    <n v="236.8"/>
    <n v="136"/>
    <n v="20.13"/>
    <n v="270.39999999999998"/>
    <n v="110"/>
    <n v="12.17"/>
    <x v="31"/>
    <x v="1"/>
    <x v="31"/>
    <x v="1"/>
    <x v="0"/>
  </r>
  <r>
    <s v="NH"/>
    <x v="17"/>
    <s v="area_code_408"/>
    <x v="0"/>
    <x v="1"/>
    <n v="0"/>
    <n v="68.400000000000006"/>
    <n v="86"/>
    <n v="11.63"/>
    <n v="193.3"/>
    <n v="110"/>
    <n v="16.43"/>
    <n v="171.5"/>
    <n v="139"/>
    <n v="7.72"/>
    <x v="91"/>
    <x v="4"/>
    <x v="91"/>
    <x v="1"/>
    <x v="0"/>
  </r>
  <r>
    <s v="OK"/>
    <x v="75"/>
    <s v="area_code_408"/>
    <x v="0"/>
    <x v="0"/>
    <n v="31"/>
    <n v="273"/>
    <n v="78"/>
    <n v="46.41"/>
    <n v="215.5"/>
    <n v="98"/>
    <n v="18.32"/>
    <n v="104.7"/>
    <n v="114"/>
    <n v="4.71"/>
    <x v="63"/>
    <x v="5"/>
    <x v="63"/>
    <x v="0"/>
    <x v="0"/>
  </r>
  <r>
    <s v="CT"/>
    <x v="32"/>
    <s v="area_code_415"/>
    <x v="1"/>
    <x v="1"/>
    <n v="0"/>
    <n v="225.3"/>
    <n v="134"/>
    <n v="38.299999999999997"/>
    <n v="108.2"/>
    <n v="87"/>
    <n v="9.1999999999999993"/>
    <n v="139.6"/>
    <n v="132"/>
    <n v="6.28"/>
    <x v="143"/>
    <x v="6"/>
    <x v="143"/>
    <x v="0"/>
    <x v="1"/>
  </r>
  <r>
    <s v="TN"/>
    <x v="165"/>
    <s v="area_code_415"/>
    <x v="0"/>
    <x v="0"/>
    <n v="23"/>
    <n v="283.2"/>
    <n v="130"/>
    <n v="48.14"/>
    <n v="162.6"/>
    <n v="74"/>
    <n v="13.82"/>
    <n v="177.7"/>
    <n v="104"/>
    <n v="8"/>
    <x v="68"/>
    <x v="3"/>
    <x v="68"/>
    <x v="0"/>
    <x v="0"/>
  </r>
  <r>
    <s v="MD"/>
    <x v="67"/>
    <s v="area_code_510"/>
    <x v="1"/>
    <x v="1"/>
    <n v="0"/>
    <n v="131.4"/>
    <n v="78"/>
    <n v="22.34"/>
    <n v="219.7"/>
    <n v="106"/>
    <n v="18.670000000000002"/>
    <n v="155.69999999999999"/>
    <n v="103"/>
    <n v="7.01"/>
    <x v="22"/>
    <x v="5"/>
    <x v="22"/>
    <x v="0"/>
    <x v="1"/>
  </r>
  <r>
    <s v="WI"/>
    <x v="2"/>
    <s v="area_code_510"/>
    <x v="0"/>
    <x v="0"/>
    <n v="12"/>
    <n v="89.7"/>
    <n v="87"/>
    <n v="15.25"/>
    <n v="138.6"/>
    <n v="73"/>
    <n v="11.78"/>
    <n v="165.8"/>
    <n v="114"/>
    <n v="7.46"/>
    <x v="85"/>
    <x v="5"/>
    <x v="85"/>
    <x v="0"/>
    <x v="0"/>
  </r>
  <r>
    <s v="SD"/>
    <x v="51"/>
    <s v="area_code_510"/>
    <x v="0"/>
    <x v="1"/>
    <n v="0"/>
    <n v="127.1"/>
    <n v="102"/>
    <n v="21.61"/>
    <n v="247.7"/>
    <n v="106"/>
    <n v="21.05"/>
    <n v="207.7"/>
    <n v="75"/>
    <n v="9.35"/>
    <x v="105"/>
    <x v="0"/>
    <x v="105"/>
    <x v="3"/>
    <x v="0"/>
  </r>
  <r>
    <s v="ND"/>
    <x v="116"/>
    <s v="area_code_415"/>
    <x v="0"/>
    <x v="0"/>
    <n v="28"/>
    <n v="105.9"/>
    <n v="132"/>
    <n v="18"/>
    <n v="231.7"/>
    <n v="107"/>
    <n v="19.690000000000001"/>
    <n v="281.3"/>
    <n v="120"/>
    <n v="12.66"/>
    <x v="85"/>
    <x v="1"/>
    <x v="85"/>
    <x v="0"/>
    <x v="0"/>
  </r>
  <r>
    <s v="VA"/>
    <x v="27"/>
    <s v="area_code_408"/>
    <x v="0"/>
    <x v="1"/>
    <n v="0"/>
    <n v="142.30000000000001"/>
    <n v="79"/>
    <n v="24.19"/>
    <n v="158"/>
    <n v="113"/>
    <n v="13.43"/>
    <n v="177.5"/>
    <n v="75"/>
    <n v="7.99"/>
    <x v="120"/>
    <x v="12"/>
    <x v="120"/>
    <x v="2"/>
    <x v="0"/>
  </r>
  <r>
    <s v="MA"/>
    <x v="19"/>
    <s v="area_code_408"/>
    <x v="0"/>
    <x v="0"/>
    <n v="36"/>
    <n v="201.9"/>
    <n v="93"/>
    <n v="34.32"/>
    <n v="156.30000000000001"/>
    <n v="75"/>
    <n v="13.29"/>
    <n v="131.30000000000001"/>
    <n v="92"/>
    <n v="5.91"/>
    <x v="0"/>
    <x v="1"/>
    <x v="0"/>
    <x v="1"/>
    <x v="0"/>
  </r>
  <r>
    <s v="SD"/>
    <x v="59"/>
    <s v="area_code_415"/>
    <x v="0"/>
    <x v="1"/>
    <n v="0"/>
    <n v="247.3"/>
    <n v="91"/>
    <n v="42.04"/>
    <n v="182.7"/>
    <n v="60"/>
    <n v="15.53"/>
    <n v="143.19999999999999"/>
    <n v="112"/>
    <n v="6.44"/>
    <x v="20"/>
    <x v="5"/>
    <x v="20"/>
    <x v="3"/>
    <x v="0"/>
  </r>
  <r>
    <s v="AL"/>
    <x v="73"/>
    <s v="area_code_408"/>
    <x v="0"/>
    <x v="0"/>
    <n v="38"/>
    <n v="242.2"/>
    <n v="96"/>
    <n v="41.17"/>
    <n v="159.69999999999999"/>
    <n v="144"/>
    <n v="13.57"/>
    <n v="210"/>
    <n v="108"/>
    <n v="9.4499999999999993"/>
    <x v="56"/>
    <x v="8"/>
    <x v="56"/>
    <x v="0"/>
    <x v="0"/>
  </r>
  <r>
    <s v="AL"/>
    <x v="194"/>
    <s v="area_code_415"/>
    <x v="1"/>
    <x v="1"/>
    <n v="0"/>
    <n v="127.3"/>
    <n v="80"/>
    <n v="21.64"/>
    <n v="222.3"/>
    <n v="115"/>
    <n v="18.899999999999999"/>
    <n v="173.9"/>
    <n v="95"/>
    <n v="7.83"/>
    <x v="0"/>
    <x v="1"/>
    <x v="0"/>
    <x v="5"/>
    <x v="1"/>
  </r>
  <r>
    <s v="WV"/>
    <x v="196"/>
    <s v="area_code_408"/>
    <x v="0"/>
    <x v="1"/>
    <n v="0"/>
    <n v="162"/>
    <n v="104"/>
    <n v="27.54"/>
    <n v="241.2"/>
    <n v="120"/>
    <n v="20.5"/>
    <n v="210.4"/>
    <n v="83"/>
    <n v="9.4700000000000006"/>
    <x v="54"/>
    <x v="2"/>
    <x v="54"/>
    <x v="0"/>
    <x v="0"/>
  </r>
  <r>
    <s v="SC"/>
    <x v="63"/>
    <s v="area_code_415"/>
    <x v="0"/>
    <x v="0"/>
    <n v="33"/>
    <n v="179.1"/>
    <n v="93"/>
    <n v="30.45"/>
    <n v="238.3"/>
    <n v="102"/>
    <n v="20.260000000000002"/>
    <n v="165.7"/>
    <n v="96"/>
    <n v="7.46"/>
    <x v="15"/>
    <x v="8"/>
    <x v="15"/>
    <x v="2"/>
    <x v="0"/>
  </r>
  <r>
    <s v="UT"/>
    <x v="26"/>
    <s v="area_code_415"/>
    <x v="0"/>
    <x v="1"/>
    <n v="0"/>
    <n v="193.1"/>
    <n v="85"/>
    <n v="32.83"/>
    <n v="172.1"/>
    <n v="105"/>
    <n v="14.63"/>
    <n v="129.6"/>
    <n v="119"/>
    <n v="5.83"/>
    <x v="39"/>
    <x v="8"/>
    <x v="39"/>
    <x v="1"/>
    <x v="0"/>
  </r>
  <r>
    <s v="NY"/>
    <x v="28"/>
    <s v="area_code_408"/>
    <x v="0"/>
    <x v="1"/>
    <n v="0"/>
    <n v="171.7"/>
    <n v="99"/>
    <n v="29.19"/>
    <n v="174.8"/>
    <n v="87"/>
    <n v="14.86"/>
    <n v="189.6"/>
    <n v="130"/>
    <n v="8.5299999999999994"/>
    <x v="35"/>
    <x v="3"/>
    <x v="35"/>
    <x v="0"/>
    <x v="0"/>
  </r>
  <r>
    <s v="NH"/>
    <x v="80"/>
    <s v="area_code_415"/>
    <x v="0"/>
    <x v="0"/>
    <n v="24"/>
    <n v="121.7"/>
    <n v="87"/>
    <n v="20.69"/>
    <n v="184"/>
    <n v="76"/>
    <n v="15.64"/>
    <n v="266.60000000000002"/>
    <n v="98"/>
    <n v="12"/>
    <x v="8"/>
    <x v="0"/>
    <x v="8"/>
    <x v="0"/>
    <x v="0"/>
  </r>
  <r>
    <s v="VA"/>
    <x v="2"/>
    <s v="area_code_415"/>
    <x v="0"/>
    <x v="1"/>
    <n v="0"/>
    <n v="130.19999999999999"/>
    <n v="105"/>
    <n v="22.13"/>
    <n v="278"/>
    <n v="60"/>
    <n v="23.63"/>
    <n v="305.39999999999998"/>
    <n v="74"/>
    <n v="13.74"/>
    <x v="100"/>
    <x v="3"/>
    <x v="100"/>
    <x v="2"/>
    <x v="0"/>
  </r>
  <r>
    <s v="VT"/>
    <x v="11"/>
    <s v="area_code_510"/>
    <x v="0"/>
    <x v="1"/>
    <n v="0"/>
    <n v="203.4"/>
    <n v="96"/>
    <n v="34.58"/>
    <n v="168.6"/>
    <n v="61"/>
    <n v="14.33"/>
    <n v="173"/>
    <n v="105"/>
    <n v="7.79"/>
    <x v="0"/>
    <x v="0"/>
    <x v="0"/>
    <x v="2"/>
    <x v="0"/>
  </r>
  <r>
    <s v="WY"/>
    <x v="128"/>
    <s v="area_code_415"/>
    <x v="0"/>
    <x v="1"/>
    <n v="0"/>
    <n v="174.7"/>
    <n v="83"/>
    <n v="29.7"/>
    <n v="280.8"/>
    <n v="122"/>
    <n v="23.87"/>
    <n v="171.7"/>
    <n v="80"/>
    <n v="7.73"/>
    <x v="26"/>
    <x v="10"/>
    <x v="26"/>
    <x v="5"/>
    <x v="0"/>
  </r>
  <r>
    <s v="NV"/>
    <x v="14"/>
    <s v="area_code_510"/>
    <x v="1"/>
    <x v="1"/>
    <n v="0"/>
    <n v="241"/>
    <n v="120"/>
    <n v="40.97"/>
    <n v="231.8"/>
    <n v="96"/>
    <n v="19.7"/>
    <n v="220.2"/>
    <n v="67"/>
    <n v="9.91"/>
    <x v="79"/>
    <x v="8"/>
    <x v="79"/>
    <x v="0"/>
    <x v="1"/>
  </r>
  <r>
    <s v="WV"/>
    <x v="67"/>
    <s v="area_code_415"/>
    <x v="0"/>
    <x v="1"/>
    <n v="0"/>
    <n v="141.69999999999999"/>
    <n v="95"/>
    <n v="24.09"/>
    <n v="221"/>
    <n v="100"/>
    <n v="18.79"/>
    <n v="227.1"/>
    <n v="71"/>
    <n v="10.220000000000001"/>
    <x v="39"/>
    <x v="0"/>
    <x v="39"/>
    <x v="1"/>
    <x v="0"/>
  </r>
  <r>
    <s v="WA"/>
    <x v="82"/>
    <s v="area_code_408"/>
    <x v="0"/>
    <x v="1"/>
    <n v="0"/>
    <n v="134.80000000000001"/>
    <n v="96"/>
    <n v="22.92"/>
    <n v="167.2"/>
    <n v="78"/>
    <n v="14.21"/>
    <n v="161.5"/>
    <n v="123"/>
    <n v="7.27"/>
    <x v="18"/>
    <x v="1"/>
    <x v="18"/>
    <x v="2"/>
    <x v="0"/>
  </r>
  <r>
    <s v="KS"/>
    <x v="106"/>
    <s v="area_code_415"/>
    <x v="0"/>
    <x v="1"/>
    <n v="0"/>
    <n v="163.1"/>
    <n v="119"/>
    <n v="27.73"/>
    <n v="249.4"/>
    <n v="51"/>
    <n v="21.2"/>
    <n v="168.2"/>
    <n v="77"/>
    <n v="7.57"/>
    <x v="62"/>
    <x v="11"/>
    <x v="62"/>
    <x v="0"/>
    <x v="0"/>
  </r>
  <r>
    <s v="OK"/>
    <x v="55"/>
    <s v="area_code_510"/>
    <x v="0"/>
    <x v="1"/>
    <n v="0"/>
    <n v="329.8"/>
    <n v="73"/>
    <n v="56.07"/>
    <n v="208.3"/>
    <n v="120"/>
    <n v="17.71"/>
    <n v="267.10000000000002"/>
    <n v="102"/>
    <n v="12.02"/>
    <x v="15"/>
    <x v="3"/>
    <x v="15"/>
    <x v="1"/>
    <x v="1"/>
  </r>
  <r>
    <s v="CO"/>
    <x v="77"/>
    <s v="area_code_510"/>
    <x v="0"/>
    <x v="1"/>
    <n v="0"/>
    <n v="131.9"/>
    <n v="93"/>
    <n v="22.42"/>
    <n v="272.7"/>
    <n v="106"/>
    <n v="23.18"/>
    <n v="192.8"/>
    <n v="105"/>
    <n v="8.68"/>
    <x v="5"/>
    <x v="4"/>
    <x v="5"/>
    <x v="0"/>
    <x v="0"/>
  </r>
  <r>
    <s v="AK"/>
    <x v="39"/>
    <s v="area_code_408"/>
    <x v="0"/>
    <x v="0"/>
    <n v="29"/>
    <n v="150"/>
    <n v="91"/>
    <n v="25.5"/>
    <n v="159.4"/>
    <n v="75"/>
    <n v="13.55"/>
    <n v="228.1"/>
    <n v="55"/>
    <n v="10.26"/>
    <x v="31"/>
    <x v="0"/>
    <x v="31"/>
    <x v="0"/>
    <x v="0"/>
  </r>
  <r>
    <s v="TN"/>
    <x v="152"/>
    <s v="area_code_415"/>
    <x v="0"/>
    <x v="0"/>
    <n v="30"/>
    <n v="196.6"/>
    <n v="93"/>
    <n v="33.42"/>
    <n v="241.4"/>
    <n v="140"/>
    <n v="20.52"/>
    <n v="226"/>
    <n v="118"/>
    <n v="10.17"/>
    <x v="89"/>
    <x v="4"/>
    <x v="89"/>
    <x v="2"/>
    <x v="0"/>
  </r>
  <r>
    <s v="KY"/>
    <x v="85"/>
    <s v="area_code_510"/>
    <x v="0"/>
    <x v="1"/>
    <n v="0"/>
    <n v="99.7"/>
    <n v="107"/>
    <n v="16.95"/>
    <n v="145.1"/>
    <n v="96"/>
    <n v="12.33"/>
    <n v="149.4"/>
    <n v="99"/>
    <n v="6.72"/>
    <x v="71"/>
    <x v="4"/>
    <x v="71"/>
    <x v="2"/>
    <x v="0"/>
  </r>
  <r>
    <s v="PA"/>
    <x v="155"/>
    <s v="area_code_415"/>
    <x v="0"/>
    <x v="1"/>
    <n v="0"/>
    <n v="143.6"/>
    <n v="88"/>
    <n v="24.41"/>
    <n v="141.80000000000001"/>
    <n v="86"/>
    <n v="12.05"/>
    <n v="194"/>
    <n v="83"/>
    <n v="8.73"/>
    <x v="81"/>
    <x v="1"/>
    <x v="81"/>
    <x v="3"/>
    <x v="0"/>
  </r>
  <r>
    <s v="CT"/>
    <x v="74"/>
    <s v="area_code_408"/>
    <x v="0"/>
    <x v="0"/>
    <n v="40"/>
    <n v="231.9"/>
    <n v="56"/>
    <n v="39.42"/>
    <n v="211.8"/>
    <n v="91"/>
    <n v="18"/>
    <n v="268.5"/>
    <n v="74"/>
    <n v="12.08"/>
    <x v="10"/>
    <x v="0"/>
    <x v="10"/>
    <x v="2"/>
    <x v="0"/>
  </r>
  <r>
    <s v="MN"/>
    <x v="28"/>
    <s v="area_code_415"/>
    <x v="0"/>
    <x v="1"/>
    <n v="0"/>
    <n v="72.8"/>
    <n v="107"/>
    <n v="12.38"/>
    <n v="186.4"/>
    <n v="103"/>
    <n v="15.84"/>
    <n v="175.3"/>
    <n v="110"/>
    <n v="7.89"/>
    <x v="26"/>
    <x v="4"/>
    <x v="26"/>
    <x v="3"/>
    <x v="0"/>
  </r>
  <r>
    <s v="PA"/>
    <x v="42"/>
    <s v="area_code_415"/>
    <x v="0"/>
    <x v="0"/>
    <n v="15"/>
    <n v="221.8"/>
    <n v="143"/>
    <n v="37.71"/>
    <n v="210.6"/>
    <n v="115"/>
    <n v="17.899999999999999"/>
    <n v="221.8"/>
    <n v="109"/>
    <n v="9.98"/>
    <x v="70"/>
    <x v="6"/>
    <x v="70"/>
    <x v="0"/>
    <x v="0"/>
  </r>
  <r>
    <s v="OR"/>
    <x v="11"/>
    <s v="area_code_415"/>
    <x v="0"/>
    <x v="1"/>
    <n v="0"/>
    <n v="269"/>
    <n v="120"/>
    <n v="45.73"/>
    <n v="233.7"/>
    <n v="120"/>
    <n v="19.86"/>
    <n v="179.3"/>
    <n v="61"/>
    <n v="8.07"/>
    <x v="48"/>
    <x v="4"/>
    <x v="48"/>
    <x v="2"/>
    <x v="1"/>
  </r>
  <r>
    <s v="PA"/>
    <x v="134"/>
    <s v="area_code_415"/>
    <x v="0"/>
    <x v="1"/>
    <n v="0"/>
    <n v="268.3"/>
    <n v="114"/>
    <n v="45.61"/>
    <n v="185.5"/>
    <n v="111"/>
    <n v="15.77"/>
    <n v="264.60000000000002"/>
    <n v="88"/>
    <n v="11.91"/>
    <x v="21"/>
    <x v="2"/>
    <x v="21"/>
    <x v="0"/>
    <x v="1"/>
  </r>
  <r>
    <s v="OK"/>
    <x v="106"/>
    <s v="area_code_415"/>
    <x v="0"/>
    <x v="0"/>
    <n v="27"/>
    <n v="198.7"/>
    <n v="127"/>
    <n v="33.78"/>
    <n v="249"/>
    <n v="105"/>
    <n v="21.17"/>
    <n v="173.2"/>
    <n v="124"/>
    <n v="7.79"/>
    <x v="60"/>
    <x v="1"/>
    <x v="60"/>
    <x v="0"/>
    <x v="0"/>
  </r>
  <r>
    <s v="VT"/>
    <x v="63"/>
    <s v="area_code_415"/>
    <x v="0"/>
    <x v="1"/>
    <n v="0"/>
    <n v="115.5"/>
    <n v="75"/>
    <n v="19.64"/>
    <n v="218.1"/>
    <n v="111"/>
    <n v="18.54"/>
    <n v="254.9"/>
    <n v="98"/>
    <n v="11.47"/>
    <x v="73"/>
    <x v="2"/>
    <x v="73"/>
    <x v="6"/>
    <x v="1"/>
  </r>
  <r>
    <s v="PA"/>
    <x v="7"/>
    <s v="area_code_510"/>
    <x v="0"/>
    <x v="1"/>
    <n v="0"/>
    <n v="215.6"/>
    <n v="113"/>
    <n v="36.65"/>
    <n v="200.6"/>
    <n v="81"/>
    <n v="17.05"/>
    <n v="153.80000000000001"/>
    <n v="107"/>
    <n v="6.92"/>
    <x v="70"/>
    <x v="3"/>
    <x v="70"/>
    <x v="0"/>
    <x v="0"/>
  </r>
  <r>
    <s v="NM"/>
    <x v="19"/>
    <s v="area_code_408"/>
    <x v="0"/>
    <x v="1"/>
    <n v="0"/>
    <n v="169.9"/>
    <n v="107"/>
    <n v="28.88"/>
    <n v="209.4"/>
    <n v="121"/>
    <n v="17.8"/>
    <n v="206.1"/>
    <n v="79"/>
    <n v="9.27"/>
    <x v="73"/>
    <x v="5"/>
    <x v="73"/>
    <x v="0"/>
    <x v="0"/>
  </r>
  <r>
    <s v="FL"/>
    <x v="139"/>
    <s v="area_code_510"/>
    <x v="0"/>
    <x v="1"/>
    <n v="0"/>
    <n v="201.7"/>
    <n v="85"/>
    <n v="34.29"/>
    <n v="169.4"/>
    <n v="116"/>
    <n v="14.4"/>
    <n v="286.3"/>
    <n v="80"/>
    <n v="12.88"/>
    <x v="120"/>
    <x v="4"/>
    <x v="120"/>
    <x v="1"/>
    <x v="0"/>
  </r>
  <r>
    <s v="TX"/>
    <x v="139"/>
    <s v="area_code_408"/>
    <x v="0"/>
    <x v="1"/>
    <n v="0"/>
    <n v="221.1"/>
    <n v="133"/>
    <n v="37.590000000000003"/>
    <n v="160.19999999999999"/>
    <n v="140"/>
    <n v="13.62"/>
    <n v="161.80000000000001"/>
    <n v="84"/>
    <n v="7.28"/>
    <x v="80"/>
    <x v="0"/>
    <x v="80"/>
    <x v="4"/>
    <x v="0"/>
  </r>
  <r>
    <s v="VT"/>
    <x v="67"/>
    <s v="area_code_510"/>
    <x v="0"/>
    <x v="0"/>
    <n v="32"/>
    <n v="218.7"/>
    <n v="117"/>
    <n v="37.18"/>
    <n v="115"/>
    <n v="61"/>
    <n v="9.7799999999999994"/>
    <n v="192.7"/>
    <n v="85"/>
    <n v="8.67"/>
    <x v="27"/>
    <x v="1"/>
    <x v="27"/>
    <x v="2"/>
    <x v="0"/>
  </r>
  <r>
    <s v="MA"/>
    <x v="30"/>
    <s v="area_code_415"/>
    <x v="0"/>
    <x v="1"/>
    <n v="0"/>
    <n v="293.7"/>
    <n v="89"/>
    <n v="49.93"/>
    <n v="272.5"/>
    <n v="71"/>
    <n v="23.16"/>
    <n v="178.2"/>
    <n v="76"/>
    <n v="8.02"/>
    <x v="34"/>
    <x v="11"/>
    <x v="34"/>
    <x v="2"/>
    <x v="1"/>
  </r>
  <r>
    <s v="DE"/>
    <x v="39"/>
    <s v="area_code_415"/>
    <x v="0"/>
    <x v="0"/>
    <n v="26"/>
    <n v="175.8"/>
    <n v="96"/>
    <n v="29.89"/>
    <n v="206.6"/>
    <n v="84"/>
    <n v="17.559999999999999"/>
    <n v="178"/>
    <n v="105"/>
    <n v="8.01"/>
    <x v="22"/>
    <x v="5"/>
    <x v="22"/>
    <x v="2"/>
    <x v="0"/>
  </r>
  <r>
    <s v="FL"/>
    <x v="56"/>
    <s v="area_code_510"/>
    <x v="0"/>
    <x v="1"/>
    <n v="0"/>
    <n v="278.5"/>
    <n v="95"/>
    <n v="47.35"/>
    <n v="240.7"/>
    <n v="90"/>
    <n v="20.46"/>
    <n v="120"/>
    <n v="90"/>
    <n v="5.4"/>
    <x v="43"/>
    <x v="1"/>
    <x v="43"/>
    <x v="0"/>
    <x v="1"/>
  </r>
  <r>
    <s v="ID"/>
    <x v="114"/>
    <s v="area_code_408"/>
    <x v="0"/>
    <x v="0"/>
    <n v="29"/>
    <n v="236.3"/>
    <n v="105"/>
    <n v="40.17"/>
    <n v="190.8"/>
    <n v="114"/>
    <n v="16.22"/>
    <n v="129"/>
    <n v="105"/>
    <n v="5.81"/>
    <x v="68"/>
    <x v="5"/>
    <x v="68"/>
    <x v="3"/>
    <x v="0"/>
  </r>
  <r>
    <s v="MD"/>
    <x v="21"/>
    <s v="area_code_415"/>
    <x v="0"/>
    <x v="1"/>
    <n v="0"/>
    <n v="273.8"/>
    <n v="113"/>
    <n v="46.55"/>
    <n v="119.6"/>
    <n v="156"/>
    <n v="10.17"/>
    <n v="267.60000000000002"/>
    <n v="117"/>
    <n v="12.04"/>
    <x v="50"/>
    <x v="0"/>
    <x v="50"/>
    <x v="0"/>
    <x v="0"/>
  </r>
  <r>
    <s v="WV"/>
    <x v="54"/>
    <s v="area_code_408"/>
    <x v="0"/>
    <x v="1"/>
    <n v="0"/>
    <n v="131.1"/>
    <n v="129"/>
    <n v="22.29"/>
    <n v="160.5"/>
    <n v="94"/>
    <n v="13.64"/>
    <n v="206.9"/>
    <n v="88"/>
    <n v="9.31"/>
    <x v="113"/>
    <x v="6"/>
    <x v="113"/>
    <x v="5"/>
    <x v="1"/>
  </r>
  <r>
    <s v="ID"/>
    <x v="73"/>
    <s v="area_code_415"/>
    <x v="0"/>
    <x v="0"/>
    <n v="23"/>
    <n v="167.4"/>
    <n v="83"/>
    <n v="28.46"/>
    <n v="258.60000000000002"/>
    <n v="129"/>
    <n v="21.98"/>
    <n v="116.4"/>
    <n v="110"/>
    <n v="5.24"/>
    <x v="7"/>
    <x v="0"/>
    <x v="7"/>
    <x v="4"/>
    <x v="0"/>
  </r>
  <r>
    <s v="NV"/>
    <x v="39"/>
    <s v="area_code_408"/>
    <x v="0"/>
    <x v="1"/>
    <n v="0"/>
    <n v="197.7"/>
    <n v="68"/>
    <n v="33.61"/>
    <n v="250.5"/>
    <n v="53"/>
    <n v="21.29"/>
    <n v="181.2"/>
    <n v="67"/>
    <n v="8.15"/>
    <x v="26"/>
    <x v="0"/>
    <x v="26"/>
    <x v="3"/>
    <x v="0"/>
  </r>
  <r>
    <s v="OH"/>
    <x v="117"/>
    <s v="area_code_415"/>
    <x v="0"/>
    <x v="1"/>
    <n v="0"/>
    <n v="169.5"/>
    <n v="93"/>
    <n v="28.82"/>
    <n v="230.9"/>
    <n v="71"/>
    <n v="19.63"/>
    <n v="269.8"/>
    <n v="115"/>
    <n v="12.14"/>
    <x v="62"/>
    <x v="2"/>
    <x v="62"/>
    <x v="2"/>
    <x v="0"/>
  </r>
  <r>
    <s v="ID"/>
    <x v="51"/>
    <s v="area_code_415"/>
    <x v="1"/>
    <x v="0"/>
    <n v="17"/>
    <n v="225.2"/>
    <n v="116"/>
    <n v="38.28"/>
    <n v="173.4"/>
    <n v="88"/>
    <n v="14.74"/>
    <n v="145.80000000000001"/>
    <n v="99"/>
    <n v="6.56"/>
    <x v="50"/>
    <x v="4"/>
    <x v="50"/>
    <x v="1"/>
    <x v="0"/>
  </r>
  <r>
    <s v="MO"/>
    <x v="14"/>
    <s v="area_code_510"/>
    <x v="0"/>
    <x v="1"/>
    <n v="0"/>
    <n v="129.69999999999999"/>
    <n v="84"/>
    <n v="22.05"/>
    <n v="177.5"/>
    <n v="80"/>
    <n v="15.09"/>
    <n v="228.9"/>
    <n v="87"/>
    <n v="10.3"/>
    <x v="4"/>
    <x v="0"/>
    <x v="4"/>
    <x v="5"/>
    <x v="1"/>
  </r>
  <r>
    <s v="NE"/>
    <x v="63"/>
    <s v="area_code_415"/>
    <x v="0"/>
    <x v="1"/>
    <n v="0"/>
    <n v="200"/>
    <n v="66"/>
    <n v="34"/>
    <n v="107.9"/>
    <n v="104"/>
    <n v="9.17"/>
    <n v="233.7"/>
    <n v="82"/>
    <n v="10.52"/>
    <x v="37"/>
    <x v="5"/>
    <x v="37"/>
    <x v="3"/>
    <x v="0"/>
  </r>
  <r>
    <s v="NC"/>
    <x v="82"/>
    <s v="area_code_510"/>
    <x v="0"/>
    <x v="0"/>
    <n v="36"/>
    <n v="95.9"/>
    <n v="87"/>
    <n v="16.3"/>
    <n v="261.60000000000002"/>
    <n v="105"/>
    <n v="22.24"/>
    <n v="228.6"/>
    <n v="109"/>
    <n v="10.29"/>
    <x v="64"/>
    <x v="4"/>
    <x v="64"/>
    <x v="1"/>
    <x v="0"/>
  </r>
  <r>
    <s v="ME"/>
    <x v="25"/>
    <s v="area_code_510"/>
    <x v="0"/>
    <x v="0"/>
    <n v="25"/>
    <n v="152.80000000000001"/>
    <n v="110"/>
    <n v="25.98"/>
    <n v="242.8"/>
    <n v="67"/>
    <n v="20.64"/>
    <n v="147.4"/>
    <n v="74"/>
    <n v="6.63"/>
    <x v="9"/>
    <x v="5"/>
    <x v="9"/>
    <x v="0"/>
    <x v="0"/>
  </r>
  <r>
    <s v="AZ"/>
    <x v="143"/>
    <s v="area_code_415"/>
    <x v="1"/>
    <x v="1"/>
    <n v="0"/>
    <n v="268.39999999999998"/>
    <n v="85"/>
    <n v="45.63"/>
    <n v="150.6"/>
    <n v="131"/>
    <n v="12.8"/>
    <n v="297.89999999999998"/>
    <n v="84"/>
    <n v="13.41"/>
    <x v="84"/>
    <x v="10"/>
    <x v="84"/>
    <x v="2"/>
    <x v="1"/>
  </r>
  <r>
    <s v="AZ"/>
    <x v="108"/>
    <s v="area_code_415"/>
    <x v="0"/>
    <x v="1"/>
    <n v="0"/>
    <n v="188.5"/>
    <n v="152"/>
    <n v="32.049999999999997"/>
    <n v="148.30000000000001"/>
    <n v="115"/>
    <n v="12.61"/>
    <n v="179.8"/>
    <n v="88"/>
    <n v="8.09"/>
    <x v="126"/>
    <x v="1"/>
    <x v="126"/>
    <x v="2"/>
    <x v="0"/>
  </r>
  <r>
    <s v="HI"/>
    <x v="130"/>
    <s v="area_code_408"/>
    <x v="0"/>
    <x v="1"/>
    <n v="0"/>
    <n v="170.6"/>
    <n v="97"/>
    <n v="29"/>
    <n v="162.1"/>
    <n v="111"/>
    <n v="13.78"/>
    <n v="210.7"/>
    <n v="131"/>
    <n v="9.48"/>
    <x v="49"/>
    <x v="8"/>
    <x v="49"/>
    <x v="0"/>
    <x v="0"/>
  </r>
  <r>
    <s v="NJ"/>
    <x v="96"/>
    <s v="area_code_415"/>
    <x v="0"/>
    <x v="1"/>
    <n v="0"/>
    <n v="191.4"/>
    <n v="124"/>
    <n v="32.54"/>
    <n v="200.7"/>
    <n v="116"/>
    <n v="17.059999999999999"/>
    <n v="230.1"/>
    <n v="76"/>
    <n v="10.35"/>
    <x v="45"/>
    <x v="0"/>
    <x v="45"/>
    <x v="0"/>
    <x v="0"/>
  </r>
  <r>
    <s v="SC"/>
    <x v="108"/>
    <s v="area_code_510"/>
    <x v="0"/>
    <x v="1"/>
    <n v="0"/>
    <n v="115.9"/>
    <n v="87"/>
    <n v="19.7"/>
    <n v="111.3"/>
    <n v="56"/>
    <n v="9.4600000000000009"/>
    <n v="170.2"/>
    <n v="77"/>
    <n v="7.66"/>
    <x v="5"/>
    <x v="4"/>
    <x v="5"/>
    <x v="0"/>
    <x v="0"/>
  </r>
  <r>
    <s v="MN"/>
    <x v="63"/>
    <s v="area_code_408"/>
    <x v="0"/>
    <x v="1"/>
    <n v="0"/>
    <n v="128.80000000000001"/>
    <n v="86"/>
    <n v="21.9"/>
    <n v="203.9"/>
    <n v="105"/>
    <n v="17.329999999999998"/>
    <n v="282.60000000000002"/>
    <n v="131"/>
    <n v="12.72"/>
    <x v="71"/>
    <x v="4"/>
    <x v="71"/>
    <x v="2"/>
    <x v="0"/>
  </r>
  <r>
    <s v="WV"/>
    <x v="54"/>
    <s v="area_code_510"/>
    <x v="0"/>
    <x v="1"/>
    <n v="0"/>
    <n v="131.69999999999999"/>
    <n v="108"/>
    <n v="22.39"/>
    <n v="216.5"/>
    <n v="103"/>
    <n v="18.399999999999999"/>
    <n v="196.1"/>
    <n v="126"/>
    <n v="8.82"/>
    <x v="34"/>
    <x v="1"/>
    <x v="34"/>
    <x v="0"/>
    <x v="0"/>
  </r>
  <r>
    <s v="MS"/>
    <x v="102"/>
    <s v="area_code_415"/>
    <x v="0"/>
    <x v="1"/>
    <n v="0"/>
    <n v="101.4"/>
    <n v="48"/>
    <n v="17.239999999999998"/>
    <n v="159.1"/>
    <n v="119"/>
    <n v="13.52"/>
    <n v="259.2"/>
    <n v="53"/>
    <n v="11.66"/>
    <x v="1"/>
    <x v="5"/>
    <x v="1"/>
    <x v="0"/>
    <x v="0"/>
  </r>
  <r>
    <s v="NM"/>
    <x v="12"/>
    <s v="area_code_408"/>
    <x v="0"/>
    <x v="1"/>
    <n v="0"/>
    <n v="107.5"/>
    <n v="121"/>
    <n v="18.28"/>
    <n v="256.39999999999998"/>
    <n v="46"/>
    <n v="21.79"/>
    <n v="247.2"/>
    <n v="131"/>
    <n v="11.12"/>
    <x v="44"/>
    <x v="0"/>
    <x v="44"/>
    <x v="2"/>
    <x v="0"/>
  </r>
  <r>
    <s v="HI"/>
    <x v="35"/>
    <s v="area_code_415"/>
    <x v="0"/>
    <x v="0"/>
    <n v="43"/>
    <n v="121.1"/>
    <n v="105"/>
    <n v="20.59"/>
    <n v="260.2"/>
    <n v="115"/>
    <n v="22.12"/>
    <n v="222.4"/>
    <n v="100"/>
    <n v="10.01"/>
    <x v="24"/>
    <x v="1"/>
    <x v="24"/>
    <x v="3"/>
    <x v="0"/>
  </r>
  <r>
    <s v="WA"/>
    <x v="17"/>
    <s v="area_code_510"/>
    <x v="0"/>
    <x v="1"/>
    <n v="0"/>
    <n v="124.3"/>
    <n v="70"/>
    <n v="21.13"/>
    <n v="270.7"/>
    <n v="99"/>
    <n v="23.01"/>
    <n v="239.5"/>
    <n v="83"/>
    <n v="10.78"/>
    <x v="30"/>
    <x v="3"/>
    <x v="30"/>
    <x v="1"/>
    <x v="0"/>
  </r>
  <r>
    <s v="WI"/>
    <x v="73"/>
    <s v="area_code_415"/>
    <x v="0"/>
    <x v="1"/>
    <n v="0"/>
    <n v="157.69999999999999"/>
    <n v="101"/>
    <n v="26.81"/>
    <n v="298.60000000000002"/>
    <n v="100"/>
    <n v="25.38"/>
    <n v="216.9"/>
    <n v="99"/>
    <n v="9.76"/>
    <x v="12"/>
    <x v="0"/>
    <x v="12"/>
    <x v="0"/>
    <x v="0"/>
  </r>
  <r>
    <s v="CO"/>
    <x v="115"/>
    <s v="area_code_408"/>
    <x v="0"/>
    <x v="1"/>
    <n v="0"/>
    <n v="124.3"/>
    <n v="68"/>
    <n v="21.13"/>
    <n v="207.1"/>
    <n v="88"/>
    <n v="17.600000000000001"/>
    <n v="157.4"/>
    <n v="93"/>
    <n v="7.08"/>
    <x v="102"/>
    <x v="8"/>
    <x v="102"/>
    <x v="1"/>
    <x v="0"/>
  </r>
  <r>
    <s v="NV"/>
    <x v="85"/>
    <s v="area_code_415"/>
    <x v="0"/>
    <x v="1"/>
    <n v="0"/>
    <n v="286.39999999999998"/>
    <n v="125"/>
    <n v="48.69"/>
    <n v="205.7"/>
    <n v="74"/>
    <n v="17.48"/>
    <n v="191.4"/>
    <n v="141"/>
    <n v="8.61"/>
    <x v="72"/>
    <x v="3"/>
    <x v="72"/>
    <x v="0"/>
    <x v="1"/>
  </r>
  <r>
    <s v="RI"/>
    <x v="169"/>
    <s v="area_code_415"/>
    <x v="0"/>
    <x v="1"/>
    <n v="0"/>
    <n v="141.69999999999999"/>
    <n v="95"/>
    <n v="24.09"/>
    <n v="205.6"/>
    <n v="101"/>
    <n v="17.48"/>
    <n v="218.5"/>
    <n v="60"/>
    <n v="9.83"/>
    <x v="82"/>
    <x v="3"/>
    <x v="82"/>
    <x v="1"/>
    <x v="0"/>
  </r>
  <r>
    <s v="VA"/>
    <x v="76"/>
    <s v="area_code_408"/>
    <x v="0"/>
    <x v="0"/>
    <n v="25"/>
    <n v="173"/>
    <n v="91"/>
    <n v="29.41"/>
    <n v="245.8"/>
    <n v="64"/>
    <n v="20.89"/>
    <n v="300"/>
    <n v="99"/>
    <n v="13.5"/>
    <x v="104"/>
    <x v="0"/>
    <x v="104"/>
    <x v="1"/>
    <x v="0"/>
  </r>
  <r>
    <s v="NJ"/>
    <x v="62"/>
    <s v="area_code_415"/>
    <x v="0"/>
    <x v="1"/>
    <n v="0"/>
    <n v="268.7"/>
    <n v="120"/>
    <n v="45.68"/>
    <n v="301"/>
    <n v="147"/>
    <n v="25.59"/>
    <n v="167"/>
    <n v="140"/>
    <n v="7.52"/>
    <x v="41"/>
    <x v="8"/>
    <x v="41"/>
    <x v="2"/>
    <x v="1"/>
  </r>
  <r>
    <s v="ND"/>
    <x v="160"/>
    <s v="area_code_415"/>
    <x v="0"/>
    <x v="0"/>
    <n v="31"/>
    <n v="218.5"/>
    <n v="130"/>
    <n v="37.15"/>
    <n v="134.19999999999999"/>
    <n v="103"/>
    <n v="11.41"/>
    <n v="118.9"/>
    <n v="105"/>
    <n v="5.35"/>
    <x v="27"/>
    <x v="3"/>
    <x v="27"/>
    <x v="1"/>
    <x v="0"/>
  </r>
  <r>
    <s v="MN"/>
    <x v="13"/>
    <s v="area_code_415"/>
    <x v="0"/>
    <x v="1"/>
    <n v="0"/>
    <n v="255.3"/>
    <n v="114"/>
    <n v="43.4"/>
    <n v="194.6"/>
    <n v="83"/>
    <n v="16.54"/>
    <n v="276.60000000000002"/>
    <n v="78"/>
    <n v="12.45"/>
    <x v="103"/>
    <x v="1"/>
    <x v="103"/>
    <x v="3"/>
    <x v="0"/>
  </r>
  <r>
    <s v="HI"/>
    <x v="134"/>
    <s v="area_code_415"/>
    <x v="0"/>
    <x v="1"/>
    <n v="0"/>
    <n v="41.9"/>
    <n v="124"/>
    <n v="7.12"/>
    <n v="211"/>
    <n v="95"/>
    <n v="17.940000000000001"/>
    <n v="237.9"/>
    <n v="55"/>
    <n v="10.71"/>
    <x v="37"/>
    <x v="1"/>
    <x v="37"/>
    <x v="0"/>
    <x v="0"/>
  </r>
  <r>
    <s v="ND"/>
    <x v="104"/>
    <s v="area_code_415"/>
    <x v="0"/>
    <x v="1"/>
    <n v="0"/>
    <n v="260.8"/>
    <n v="87"/>
    <n v="44.34"/>
    <n v="258.10000000000002"/>
    <n v="78"/>
    <n v="21.94"/>
    <n v="131.30000000000001"/>
    <n v="123"/>
    <n v="5.91"/>
    <x v="41"/>
    <x v="5"/>
    <x v="41"/>
    <x v="0"/>
    <x v="0"/>
  </r>
  <r>
    <s v="WI"/>
    <x v="64"/>
    <s v="area_code_408"/>
    <x v="0"/>
    <x v="0"/>
    <n v="26"/>
    <n v="239.4"/>
    <n v="94"/>
    <n v="40.700000000000003"/>
    <n v="259.39999999999998"/>
    <n v="88"/>
    <n v="22.05"/>
    <n v="238"/>
    <n v="132"/>
    <n v="10.71"/>
    <x v="18"/>
    <x v="0"/>
    <x v="18"/>
    <x v="1"/>
    <x v="0"/>
  </r>
  <r>
    <s v="MN"/>
    <x v="90"/>
    <s v="area_code_510"/>
    <x v="0"/>
    <x v="1"/>
    <n v="0"/>
    <n v="226.7"/>
    <n v="94"/>
    <n v="38.54"/>
    <n v="168.4"/>
    <n v="129"/>
    <n v="14.31"/>
    <n v="188.7"/>
    <n v="117"/>
    <n v="8.49"/>
    <x v="39"/>
    <x v="8"/>
    <x v="39"/>
    <x v="1"/>
    <x v="0"/>
  </r>
  <r>
    <s v="KS"/>
    <x v="64"/>
    <s v="area_code_510"/>
    <x v="0"/>
    <x v="1"/>
    <n v="0"/>
    <n v="158"/>
    <n v="110"/>
    <n v="26.86"/>
    <n v="197"/>
    <n v="103"/>
    <n v="16.75"/>
    <n v="154.9"/>
    <n v="132"/>
    <n v="6.97"/>
    <x v="13"/>
    <x v="1"/>
    <x v="13"/>
    <x v="0"/>
    <x v="0"/>
  </r>
  <r>
    <s v="ME"/>
    <x v="172"/>
    <s v="area_code_510"/>
    <x v="0"/>
    <x v="1"/>
    <n v="0"/>
    <n v="113.1"/>
    <n v="74"/>
    <n v="19.23"/>
    <n v="168.8"/>
    <n v="95"/>
    <n v="14.35"/>
    <n v="262.89999999999998"/>
    <n v="126"/>
    <n v="11.83"/>
    <x v="72"/>
    <x v="5"/>
    <x v="72"/>
    <x v="0"/>
    <x v="1"/>
  </r>
  <r>
    <s v="WY"/>
    <x v="195"/>
    <s v="area_code_415"/>
    <x v="0"/>
    <x v="1"/>
    <n v="0"/>
    <n v="182.7"/>
    <n v="142"/>
    <n v="31.06"/>
    <n v="246.5"/>
    <n v="63"/>
    <n v="20.95"/>
    <n v="218"/>
    <n v="103"/>
    <n v="9.81"/>
    <x v="82"/>
    <x v="5"/>
    <x v="82"/>
    <x v="0"/>
    <x v="0"/>
  </r>
  <r>
    <s v="NY"/>
    <x v="177"/>
    <s v="area_code_415"/>
    <x v="1"/>
    <x v="1"/>
    <n v="0"/>
    <n v="161.30000000000001"/>
    <n v="83"/>
    <n v="27.42"/>
    <n v="124.4"/>
    <n v="83"/>
    <n v="10.57"/>
    <n v="262"/>
    <n v="98"/>
    <n v="11.79"/>
    <x v="71"/>
    <x v="0"/>
    <x v="71"/>
    <x v="1"/>
    <x v="1"/>
  </r>
  <r>
    <s v="VT"/>
    <x v="69"/>
    <s v="area_code_415"/>
    <x v="0"/>
    <x v="1"/>
    <n v="0"/>
    <n v="142.5"/>
    <n v="92"/>
    <n v="24.23"/>
    <n v="208.3"/>
    <n v="102"/>
    <n v="17.71"/>
    <n v="228.9"/>
    <n v="120"/>
    <n v="10.3"/>
    <x v="4"/>
    <x v="5"/>
    <x v="4"/>
    <x v="2"/>
    <x v="0"/>
  </r>
  <r>
    <s v="NC"/>
    <x v="21"/>
    <s v="area_code_415"/>
    <x v="1"/>
    <x v="1"/>
    <n v="0"/>
    <n v="190.5"/>
    <n v="108"/>
    <n v="32.39"/>
    <n v="259.7"/>
    <n v="108"/>
    <n v="22.07"/>
    <n v="141.5"/>
    <n v="111"/>
    <n v="6.37"/>
    <x v="84"/>
    <x v="5"/>
    <x v="84"/>
    <x v="2"/>
    <x v="1"/>
  </r>
  <r>
    <s v="MO"/>
    <x v="62"/>
    <s v="area_code_408"/>
    <x v="1"/>
    <x v="0"/>
    <n v="15"/>
    <n v="159.30000000000001"/>
    <n v="110"/>
    <n v="27.08"/>
    <n v="170.6"/>
    <n v="120"/>
    <n v="14.5"/>
    <n v="141.19999999999999"/>
    <n v="82"/>
    <n v="6.35"/>
    <x v="78"/>
    <x v="1"/>
    <x v="78"/>
    <x v="0"/>
    <x v="0"/>
  </r>
  <r>
    <s v="NC"/>
    <x v="98"/>
    <s v="area_code_408"/>
    <x v="1"/>
    <x v="0"/>
    <n v="39"/>
    <n v="153.80000000000001"/>
    <n v="106"/>
    <n v="26.15"/>
    <n v="123.3"/>
    <n v="111"/>
    <n v="10.48"/>
    <n v="117.8"/>
    <n v="103"/>
    <n v="5.3"/>
    <x v="29"/>
    <x v="3"/>
    <x v="29"/>
    <x v="0"/>
    <x v="0"/>
  </r>
  <r>
    <s v="NJ"/>
    <x v="171"/>
    <s v="area_code_408"/>
    <x v="1"/>
    <x v="1"/>
    <n v="0"/>
    <n v="180.7"/>
    <n v="127"/>
    <n v="30.72"/>
    <n v="174.6"/>
    <n v="94"/>
    <n v="14.84"/>
    <n v="165.3"/>
    <n v="114"/>
    <n v="7.44"/>
    <x v="42"/>
    <x v="3"/>
    <x v="42"/>
    <x v="2"/>
    <x v="0"/>
  </r>
  <r>
    <s v="OH"/>
    <x v="169"/>
    <s v="area_code_408"/>
    <x v="0"/>
    <x v="1"/>
    <n v="0"/>
    <n v="202.7"/>
    <n v="105"/>
    <n v="34.46"/>
    <n v="224.9"/>
    <n v="90"/>
    <n v="19.12"/>
    <n v="253.9"/>
    <n v="108"/>
    <n v="11.43"/>
    <x v="47"/>
    <x v="2"/>
    <x v="47"/>
    <x v="1"/>
    <x v="0"/>
  </r>
  <r>
    <s v="TX"/>
    <x v="103"/>
    <s v="area_code_415"/>
    <x v="0"/>
    <x v="0"/>
    <n v="35"/>
    <n v="190.8"/>
    <n v="100"/>
    <n v="32.44"/>
    <n v="261.3"/>
    <n v="93"/>
    <n v="22.21"/>
    <n v="209.5"/>
    <n v="108"/>
    <n v="9.43"/>
    <x v="56"/>
    <x v="3"/>
    <x v="56"/>
    <x v="1"/>
    <x v="0"/>
  </r>
  <r>
    <s v="TN"/>
    <x v="76"/>
    <s v="area_code_415"/>
    <x v="0"/>
    <x v="0"/>
    <n v="28"/>
    <n v="235.6"/>
    <n v="124"/>
    <n v="40.049999999999997"/>
    <n v="236.8"/>
    <n v="113"/>
    <n v="20.13"/>
    <n v="241.2"/>
    <n v="127"/>
    <n v="10.85"/>
    <x v="18"/>
    <x v="5"/>
    <x v="18"/>
    <x v="0"/>
    <x v="0"/>
  </r>
  <r>
    <s v="HI"/>
    <x v="117"/>
    <s v="area_code_510"/>
    <x v="0"/>
    <x v="1"/>
    <n v="0"/>
    <n v="189.3"/>
    <n v="77"/>
    <n v="32.18"/>
    <n v="155.9"/>
    <n v="128"/>
    <n v="13.25"/>
    <n v="186"/>
    <n v="83"/>
    <n v="8.3699999999999992"/>
    <x v="33"/>
    <x v="0"/>
    <x v="33"/>
    <x v="1"/>
    <x v="0"/>
  </r>
  <r>
    <s v="WY"/>
    <x v="67"/>
    <s v="area_code_408"/>
    <x v="0"/>
    <x v="0"/>
    <n v="42"/>
    <n v="166.9"/>
    <n v="101"/>
    <n v="28.37"/>
    <n v="273.2"/>
    <n v="84"/>
    <n v="23.22"/>
    <n v="171"/>
    <n v="106"/>
    <n v="7.69"/>
    <x v="73"/>
    <x v="8"/>
    <x v="73"/>
    <x v="0"/>
    <x v="0"/>
  </r>
  <r>
    <s v="CT"/>
    <x v="16"/>
    <s v="area_code_415"/>
    <x v="0"/>
    <x v="1"/>
    <n v="0"/>
    <n v="245.2"/>
    <n v="87"/>
    <n v="41.68"/>
    <n v="254.1"/>
    <n v="83"/>
    <n v="21.6"/>
    <n v="239.4"/>
    <n v="91"/>
    <n v="10.77"/>
    <x v="4"/>
    <x v="4"/>
    <x v="4"/>
    <x v="1"/>
    <x v="1"/>
  </r>
  <r>
    <s v="NM"/>
    <x v="18"/>
    <s v="area_code_415"/>
    <x v="0"/>
    <x v="1"/>
    <n v="0"/>
    <n v="132.6"/>
    <n v="125"/>
    <n v="22.54"/>
    <n v="221.1"/>
    <n v="67"/>
    <n v="18.79"/>
    <n v="127.9"/>
    <n v="101"/>
    <n v="5.76"/>
    <x v="8"/>
    <x v="5"/>
    <x v="8"/>
    <x v="4"/>
    <x v="1"/>
  </r>
  <r>
    <s v="NJ"/>
    <x v="41"/>
    <s v="area_code_415"/>
    <x v="0"/>
    <x v="1"/>
    <n v="0"/>
    <n v="182.3"/>
    <n v="64"/>
    <n v="30.99"/>
    <n v="139.80000000000001"/>
    <n v="121"/>
    <n v="11.88"/>
    <n v="171.6"/>
    <n v="96"/>
    <n v="7.72"/>
    <x v="43"/>
    <x v="2"/>
    <x v="43"/>
    <x v="2"/>
    <x v="0"/>
  </r>
  <r>
    <s v="AL"/>
    <x v="85"/>
    <s v="area_code_510"/>
    <x v="0"/>
    <x v="0"/>
    <n v="14"/>
    <n v="192.3"/>
    <n v="86"/>
    <n v="32.69"/>
    <n v="88.7"/>
    <n v="90"/>
    <n v="7.54"/>
    <n v="229.4"/>
    <n v="120"/>
    <n v="10.32"/>
    <x v="26"/>
    <x v="0"/>
    <x v="26"/>
    <x v="2"/>
    <x v="0"/>
  </r>
  <r>
    <s v="MN"/>
    <x v="85"/>
    <s v="area_code_510"/>
    <x v="1"/>
    <x v="1"/>
    <n v="0"/>
    <n v="122"/>
    <n v="110"/>
    <n v="20.74"/>
    <n v="220.2"/>
    <n v="100"/>
    <n v="18.72"/>
    <n v="179.7"/>
    <n v="124"/>
    <n v="8.09"/>
    <x v="81"/>
    <x v="5"/>
    <x v="81"/>
    <x v="2"/>
    <x v="1"/>
  </r>
  <r>
    <s v="NC"/>
    <x v="113"/>
    <s v="area_code_408"/>
    <x v="0"/>
    <x v="1"/>
    <n v="0"/>
    <n v="193"/>
    <n v="101"/>
    <n v="32.81"/>
    <n v="250"/>
    <n v="81"/>
    <n v="21.25"/>
    <n v="133.30000000000001"/>
    <n v="79"/>
    <n v="6"/>
    <x v="63"/>
    <x v="5"/>
    <x v="63"/>
    <x v="2"/>
    <x v="0"/>
  </r>
  <r>
    <s v="ND"/>
    <x v="98"/>
    <s v="area_code_415"/>
    <x v="0"/>
    <x v="0"/>
    <n v="39"/>
    <n v="91.5"/>
    <n v="125"/>
    <n v="15.56"/>
    <n v="219.9"/>
    <n v="113"/>
    <n v="18.690000000000001"/>
    <n v="229"/>
    <n v="99"/>
    <n v="10.31"/>
    <x v="8"/>
    <x v="10"/>
    <x v="8"/>
    <x v="2"/>
    <x v="0"/>
  </r>
  <r>
    <s v="NY"/>
    <x v="138"/>
    <s v="area_code_415"/>
    <x v="0"/>
    <x v="1"/>
    <n v="0"/>
    <n v="244.7"/>
    <n v="81"/>
    <n v="41.6"/>
    <n v="168"/>
    <n v="117"/>
    <n v="14.28"/>
    <n v="281.5"/>
    <n v="87"/>
    <n v="12.67"/>
    <x v="2"/>
    <x v="8"/>
    <x v="2"/>
    <x v="0"/>
    <x v="0"/>
  </r>
  <r>
    <s v="WI"/>
    <x v="34"/>
    <s v="area_code_408"/>
    <x v="0"/>
    <x v="0"/>
    <n v="24"/>
    <n v="239.8"/>
    <n v="103"/>
    <n v="40.770000000000003"/>
    <n v="285.89999999999998"/>
    <n v="65"/>
    <n v="24.3"/>
    <n v="256.7"/>
    <n v="106"/>
    <n v="11.55"/>
    <x v="17"/>
    <x v="4"/>
    <x v="17"/>
    <x v="1"/>
    <x v="0"/>
  </r>
  <r>
    <s v="WY"/>
    <x v="86"/>
    <s v="area_code_415"/>
    <x v="0"/>
    <x v="1"/>
    <n v="0"/>
    <n v="172.4"/>
    <n v="132"/>
    <n v="29.31"/>
    <n v="230.5"/>
    <n v="100"/>
    <n v="19.59"/>
    <n v="228.2"/>
    <n v="109"/>
    <n v="10.27"/>
    <x v="34"/>
    <x v="1"/>
    <x v="34"/>
    <x v="1"/>
    <x v="0"/>
  </r>
  <r>
    <s v="OR"/>
    <x v="44"/>
    <s v="area_code_415"/>
    <x v="0"/>
    <x v="1"/>
    <n v="0"/>
    <n v="242.5"/>
    <n v="83"/>
    <n v="41.23"/>
    <n v="245.4"/>
    <n v="97"/>
    <n v="20.86"/>
    <n v="219.6"/>
    <n v="80"/>
    <n v="9.8800000000000008"/>
    <x v="13"/>
    <x v="0"/>
    <x v="13"/>
    <x v="3"/>
    <x v="1"/>
  </r>
  <r>
    <s v="CO"/>
    <x v="21"/>
    <s v="area_code_510"/>
    <x v="0"/>
    <x v="0"/>
    <n v="39"/>
    <n v="117.6"/>
    <n v="82"/>
    <n v="19.989999999999998"/>
    <n v="159.19999999999999"/>
    <n v="60"/>
    <n v="13.53"/>
    <n v="236.4"/>
    <n v="113"/>
    <n v="10.64"/>
    <x v="61"/>
    <x v="11"/>
    <x v="61"/>
    <x v="2"/>
    <x v="0"/>
  </r>
  <r>
    <s v="LA"/>
    <x v="126"/>
    <s v="area_code_510"/>
    <x v="0"/>
    <x v="1"/>
    <n v="0"/>
    <n v="174.5"/>
    <n v="127"/>
    <n v="29.67"/>
    <n v="259.3"/>
    <n v="71"/>
    <n v="22.04"/>
    <n v="170.5"/>
    <n v="120"/>
    <n v="7.67"/>
    <x v="61"/>
    <x v="2"/>
    <x v="61"/>
    <x v="0"/>
    <x v="0"/>
  </r>
  <r>
    <s v="AL"/>
    <x v="90"/>
    <s v="area_code_510"/>
    <x v="0"/>
    <x v="1"/>
    <n v="0"/>
    <n v="157.30000000000001"/>
    <n v="83"/>
    <n v="26.74"/>
    <n v="220.9"/>
    <n v="85"/>
    <n v="18.78"/>
    <n v="218.9"/>
    <n v="129"/>
    <n v="9.85"/>
    <x v="42"/>
    <x v="2"/>
    <x v="42"/>
    <x v="0"/>
    <x v="0"/>
  </r>
  <r>
    <s v="TX"/>
    <x v="197"/>
    <s v="area_code_415"/>
    <x v="0"/>
    <x v="0"/>
    <n v="21"/>
    <n v="192"/>
    <n v="97"/>
    <n v="32.64"/>
    <n v="239.1"/>
    <n v="81"/>
    <n v="20.32"/>
    <n v="116.1"/>
    <n v="125"/>
    <n v="5.22"/>
    <x v="127"/>
    <x v="0"/>
    <x v="127"/>
    <x v="0"/>
    <x v="0"/>
  </r>
  <r>
    <s v="PA"/>
    <x v="105"/>
    <s v="area_code_510"/>
    <x v="0"/>
    <x v="1"/>
    <n v="0"/>
    <n v="218.2"/>
    <n v="76"/>
    <n v="37.090000000000003"/>
    <n v="169.3"/>
    <n v="60"/>
    <n v="14.39"/>
    <n v="141.1"/>
    <n v="99"/>
    <n v="6.35"/>
    <x v="40"/>
    <x v="8"/>
    <x v="40"/>
    <x v="0"/>
    <x v="0"/>
  </r>
  <r>
    <s v="IL"/>
    <x v="13"/>
    <s v="area_code_415"/>
    <x v="0"/>
    <x v="0"/>
    <n v="29"/>
    <n v="144.6"/>
    <n v="97"/>
    <n v="24.58"/>
    <n v="140"/>
    <n v="102"/>
    <n v="11.9"/>
    <n v="165.4"/>
    <n v="148"/>
    <n v="7.44"/>
    <x v="54"/>
    <x v="0"/>
    <x v="54"/>
    <x v="0"/>
    <x v="0"/>
  </r>
  <r>
    <s v="DE"/>
    <x v="97"/>
    <s v="area_code_415"/>
    <x v="1"/>
    <x v="1"/>
    <n v="0"/>
    <n v="153.6"/>
    <n v="108"/>
    <n v="26.11"/>
    <n v="232.9"/>
    <n v="85"/>
    <n v="19.8"/>
    <n v="214.2"/>
    <n v="92"/>
    <n v="9.64"/>
    <x v="71"/>
    <x v="4"/>
    <x v="71"/>
    <x v="1"/>
    <x v="1"/>
  </r>
  <r>
    <s v="MO"/>
    <x v="107"/>
    <s v="area_code_510"/>
    <x v="0"/>
    <x v="0"/>
    <n v="29"/>
    <n v="135.80000000000001"/>
    <n v="104"/>
    <n v="23.09"/>
    <n v="222.5"/>
    <n v="101"/>
    <n v="18.91"/>
    <n v="235.6"/>
    <n v="92"/>
    <n v="10.6"/>
    <x v="57"/>
    <x v="3"/>
    <x v="57"/>
    <x v="2"/>
    <x v="0"/>
  </r>
  <r>
    <s v="AR"/>
    <x v="43"/>
    <s v="area_code_510"/>
    <x v="0"/>
    <x v="1"/>
    <n v="0"/>
    <n v="160.69999999999999"/>
    <n v="69"/>
    <n v="27.32"/>
    <n v="146.80000000000001"/>
    <n v="106"/>
    <n v="12.48"/>
    <n v="287.8"/>
    <n v="144"/>
    <n v="12.95"/>
    <x v="45"/>
    <x v="1"/>
    <x v="45"/>
    <x v="1"/>
    <x v="0"/>
  </r>
  <r>
    <s v="OH"/>
    <x v="117"/>
    <s v="area_code_408"/>
    <x v="0"/>
    <x v="0"/>
    <n v="31"/>
    <n v="202.5"/>
    <n v="91"/>
    <n v="34.43"/>
    <n v="241.4"/>
    <n v="108"/>
    <n v="20.52"/>
    <n v="169.6"/>
    <n v="77"/>
    <n v="7.63"/>
    <x v="35"/>
    <x v="5"/>
    <x v="35"/>
    <x v="0"/>
    <x v="0"/>
  </r>
  <r>
    <s v="WI"/>
    <x v="69"/>
    <s v="area_code_510"/>
    <x v="0"/>
    <x v="0"/>
    <n v="34"/>
    <n v="152.19999999999999"/>
    <n v="119"/>
    <n v="25.87"/>
    <n v="227.1"/>
    <n v="91"/>
    <n v="19.3"/>
    <n v="195.7"/>
    <n v="103"/>
    <n v="8.81"/>
    <x v="10"/>
    <x v="1"/>
    <x v="10"/>
    <x v="0"/>
    <x v="0"/>
  </r>
  <r>
    <s v="GA"/>
    <x v="139"/>
    <s v="area_code_510"/>
    <x v="0"/>
    <x v="1"/>
    <n v="0"/>
    <n v="227.4"/>
    <n v="90"/>
    <n v="38.659999999999997"/>
    <n v="73.2"/>
    <n v="135"/>
    <n v="6.22"/>
    <n v="114.3"/>
    <n v="99"/>
    <n v="5.14"/>
    <x v="86"/>
    <x v="2"/>
    <x v="86"/>
    <x v="1"/>
    <x v="0"/>
  </r>
  <r>
    <s v="KY"/>
    <x v="41"/>
    <s v="area_code_408"/>
    <x v="0"/>
    <x v="1"/>
    <n v="0"/>
    <n v="191.6"/>
    <n v="115"/>
    <n v="32.57"/>
    <n v="205.6"/>
    <n v="108"/>
    <n v="17.48"/>
    <n v="210.2"/>
    <n v="123"/>
    <n v="9.4600000000000009"/>
    <x v="29"/>
    <x v="0"/>
    <x v="29"/>
    <x v="2"/>
    <x v="0"/>
  </r>
  <r>
    <s v="OH"/>
    <x v="145"/>
    <s v="area_code_510"/>
    <x v="0"/>
    <x v="1"/>
    <n v="0"/>
    <n v="138.9"/>
    <n v="111"/>
    <n v="23.61"/>
    <n v="211.6"/>
    <n v="102"/>
    <n v="17.989999999999998"/>
    <n v="179.5"/>
    <n v="91"/>
    <n v="8.08"/>
    <x v="81"/>
    <x v="0"/>
    <x v="81"/>
    <x v="0"/>
    <x v="0"/>
  </r>
  <r>
    <s v="TN"/>
    <x v="17"/>
    <s v="area_code_408"/>
    <x v="0"/>
    <x v="1"/>
    <n v="0"/>
    <n v="127"/>
    <n v="102"/>
    <n v="21.59"/>
    <n v="206.9"/>
    <n v="107"/>
    <n v="17.59"/>
    <n v="231.7"/>
    <n v="99"/>
    <n v="10.43"/>
    <x v="49"/>
    <x v="3"/>
    <x v="49"/>
    <x v="1"/>
    <x v="0"/>
  </r>
  <r>
    <s v="SD"/>
    <x v="35"/>
    <s v="area_code_415"/>
    <x v="0"/>
    <x v="1"/>
    <n v="0"/>
    <n v="168.6"/>
    <n v="87"/>
    <n v="28.66"/>
    <n v="259.2"/>
    <n v="105"/>
    <n v="22.03"/>
    <n v="279.8"/>
    <n v="123"/>
    <n v="12.59"/>
    <x v="48"/>
    <x v="4"/>
    <x v="48"/>
    <x v="0"/>
    <x v="0"/>
  </r>
  <r>
    <s v="NY"/>
    <x v="21"/>
    <s v="area_code_415"/>
    <x v="0"/>
    <x v="1"/>
    <n v="0"/>
    <n v="286.60000000000002"/>
    <n v="73"/>
    <n v="48.72"/>
    <n v="223.2"/>
    <n v="108"/>
    <n v="18.97"/>
    <n v="203.7"/>
    <n v="107"/>
    <n v="9.17"/>
    <x v="73"/>
    <x v="1"/>
    <x v="73"/>
    <x v="0"/>
    <x v="1"/>
  </r>
  <r>
    <s v="GA"/>
    <x v="31"/>
    <s v="area_code_415"/>
    <x v="0"/>
    <x v="0"/>
    <n v="29"/>
    <n v="164.6"/>
    <n v="121"/>
    <n v="27.98"/>
    <n v="262.8"/>
    <n v="108"/>
    <n v="22.34"/>
    <n v="123.8"/>
    <n v="131"/>
    <n v="5.57"/>
    <x v="126"/>
    <x v="4"/>
    <x v="126"/>
    <x v="0"/>
    <x v="0"/>
  </r>
  <r>
    <s v="TX"/>
    <x v="134"/>
    <s v="area_code_415"/>
    <x v="0"/>
    <x v="1"/>
    <n v="0"/>
    <n v="144"/>
    <n v="90"/>
    <n v="24.48"/>
    <n v="135.80000000000001"/>
    <n v="91"/>
    <n v="11.54"/>
    <n v="212.4"/>
    <n v="129"/>
    <n v="9.56"/>
    <x v="14"/>
    <x v="4"/>
    <x v="14"/>
    <x v="0"/>
    <x v="0"/>
  </r>
  <r>
    <s v="WV"/>
    <x v="73"/>
    <s v="area_code_415"/>
    <x v="0"/>
    <x v="0"/>
    <n v="47"/>
    <n v="141.6"/>
    <n v="95"/>
    <n v="24.07"/>
    <n v="207.9"/>
    <n v="130"/>
    <n v="17.670000000000002"/>
    <n v="203.6"/>
    <n v="95"/>
    <n v="9.16"/>
    <x v="39"/>
    <x v="12"/>
    <x v="39"/>
    <x v="1"/>
    <x v="0"/>
  </r>
  <r>
    <s v="ND"/>
    <x v="19"/>
    <s v="area_code_510"/>
    <x v="0"/>
    <x v="1"/>
    <n v="0"/>
    <n v="163.19999999999999"/>
    <n v="80"/>
    <n v="27.74"/>
    <n v="167.6"/>
    <n v="90"/>
    <n v="14.25"/>
    <n v="87.5"/>
    <n v="90"/>
    <n v="3.94"/>
    <x v="46"/>
    <x v="11"/>
    <x v="46"/>
    <x v="0"/>
    <x v="0"/>
  </r>
  <r>
    <s v="SD"/>
    <x v="67"/>
    <s v="area_code_415"/>
    <x v="0"/>
    <x v="1"/>
    <n v="0"/>
    <n v="176.1"/>
    <n v="103"/>
    <n v="29.94"/>
    <n v="199.7"/>
    <n v="130"/>
    <n v="16.97"/>
    <n v="263.89999999999998"/>
    <n v="96"/>
    <n v="11.88"/>
    <x v="31"/>
    <x v="3"/>
    <x v="31"/>
    <x v="2"/>
    <x v="0"/>
  </r>
  <r>
    <s v="AK"/>
    <x v="116"/>
    <s v="area_code_510"/>
    <x v="0"/>
    <x v="1"/>
    <n v="0"/>
    <n v="174.9"/>
    <n v="105"/>
    <n v="29.73"/>
    <n v="262"/>
    <n v="75"/>
    <n v="22.27"/>
    <n v="210"/>
    <n v="93"/>
    <n v="9.4499999999999993"/>
    <x v="31"/>
    <x v="1"/>
    <x v="31"/>
    <x v="0"/>
    <x v="0"/>
  </r>
  <r>
    <s v="CT"/>
    <x v="41"/>
    <s v="area_code_415"/>
    <x v="1"/>
    <x v="1"/>
    <n v="0"/>
    <n v="187.3"/>
    <n v="118"/>
    <n v="31.84"/>
    <n v="160.69999999999999"/>
    <n v="111"/>
    <n v="13.66"/>
    <n v="263.8"/>
    <n v="112"/>
    <n v="11.87"/>
    <x v="63"/>
    <x v="5"/>
    <x v="63"/>
    <x v="1"/>
    <x v="1"/>
  </r>
  <r>
    <s v="CO"/>
    <x v="69"/>
    <s v="area_code_415"/>
    <x v="0"/>
    <x v="1"/>
    <n v="0"/>
    <n v="211.8"/>
    <n v="84"/>
    <n v="36.01"/>
    <n v="230.9"/>
    <n v="137"/>
    <n v="19.63"/>
    <n v="217.1"/>
    <n v="99"/>
    <n v="9.77"/>
    <x v="85"/>
    <x v="6"/>
    <x v="85"/>
    <x v="3"/>
    <x v="0"/>
  </r>
  <r>
    <s v="MD"/>
    <x v="0"/>
    <s v="area_code_415"/>
    <x v="0"/>
    <x v="1"/>
    <n v="0"/>
    <n v="241.9"/>
    <n v="102"/>
    <n v="41.12"/>
    <n v="126.9"/>
    <n v="117"/>
    <n v="10.79"/>
    <n v="185.6"/>
    <n v="92"/>
    <n v="8.35"/>
    <x v="50"/>
    <x v="3"/>
    <x v="50"/>
    <x v="1"/>
    <x v="0"/>
  </r>
  <r>
    <s v="ND"/>
    <x v="77"/>
    <s v="area_code_408"/>
    <x v="0"/>
    <x v="1"/>
    <n v="0"/>
    <n v="196.1"/>
    <n v="103"/>
    <n v="33.340000000000003"/>
    <n v="199.7"/>
    <n v="123"/>
    <n v="16.97"/>
    <n v="135.9"/>
    <n v="71"/>
    <n v="6.12"/>
    <x v="89"/>
    <x v="8"/>
    <x v="89"/>
    <x v="3"/>
    <x v="0"/>
  </r>
  <r>
    <s v="NH"/>
    <x v="82"/>
    <s v="area_code_415"/>
    <x v="0"/>
    <x v="1"/>
    <n v="0"/>
    <n v="231.3"/>
    <n v="100"/>
    <n v="39.32"/>
    <n v="210.4"/>
    <n v="84"/>
    <n v="17.88"/>
    <n v="217.4"/>
    <n v="106"/>
    <n v="9.7799999999999994"/>
    <x v="70"/>
    <x v="5"/>
    <x v="70"/>
    <x v="3"/>
    <x v="0"/>
  </r>
  <r>
    <s v="MN"/>
    <x v="6"/>
    <s v="area_code_408"/>
    <x v="0"/>
    <x v="1"/>
    <n v="0"/>
    <n v="161.6"/>
    <n v="104"/>
    <n v="27.47"/>
    <n v="196.3"/>
    <n v="119"/>
    <n v="16.690000000000001"/>
    <n v="294.8"/>
    <n v="111"/>
    <n v="13.27"/>
    <x v="12"/>
    <x v="5"/>
    <x v="12"/>
    <x v="0"/>
    <x v="0"/>
  </r>
  <r>
    <s v="KY"/>
    <x v="146"/>
    <s v="area_code_415"/>
    <x v="0"/>
    <x v="1"/>
    <n v="0"/>
    <n v="194"/>
    <n v="103"/>
    <n v="32.979999999999997"/>
    <n v="241"/>
    <n v="116"/>
    <n v="20.49"/>
    <n v="227.5"/>
    <n v="153"/>
    <n v="10.24"/>
    <x v="78"/>
    <x v="1"/>
    <x v="78"/>
    <x v="1"/>
    <x v="0"/>
  </r>
  <r>
    <s v="NH"/>
    <x v="85"/>
    <s v="area_code_510"/>
    <x v="0"/>
    <x v="1"/>
    <n v="0"/>
    <n v="109.7"/>
    <n v="148"/>
    <n v="18.649999999999999"/>
    <n v="223.8"/>
    <n v="87"/>
    <n v="19.02"/>
    <n v="240.3"/>
    <n v="96"/>
    <n v="10.81"/>
    <x v="93"/>
    <x v="10"/>
    <x v="93"/>
    <x v="3"/>
    <x v="0"/>
  </r>
  <r>
    <s v="CO"/>
    <x v="166"/>
    <s v="area_code_408"/>
    <x v="1"/>
    <x v="1"/>
    <n v="0"/>
    <n v="277"/>
    <n v="119"/>
    <n v="47.09"/>
    <n v="238.3"/>
    <n v="106"/>
    <n v="20.260000000000002"/>
    <n v="94.4"/>
    <n v="96"/>
    <n v="4.25"/>
    <x v="24"/>
    <x v="0"/>
    <x v="24"/>
    <x v="0"/>
    <x v="0"/>
  </r>
  <r>
    <s v="KY"/>
    <x v="121"/>
    <s v="area_code_408"/>
    <x v="0"/>
    <x v="1"/>
    <n v="0"/>
    <n v="192.1"/>
    <n v="83"/>
    <n v="32.659999999999997"/>
    <n v="163.6"/>
    <n v="88"/>
    <n v="13.91"/>
    <n v="169.7"/>
    <n v="138"/>
    <n v="7.64"/>
    <x v="49"/>
    <x v="0"/>
    <x v="49"/>
    <x v="1"/>
    <x v="0"/>
  </r>
  <r>
    <s v="KY"/>
    <x v="145"/>
    <s v="area_code_415"/>
    <x v="0"/>
    <x v="1"/>
    <n v="0"/>
    <n v="198.4"/>
    <n v="147"/>
    <n v="33.729999999999997"/>
    <n v="216.9"/>
    <n v="121"/>
    <n v="18.440000000000001"/>
    <n v="112.8"/>
    <n v="125"/>
    <n v="5.08"/>
    <x v="67"/>
    <x v="4"/>
    <x v="67"/>
    <x v="1"/>
    <x v="0"/>
  </r>
  <r>
    <s v="IN"/>
    <x v="116"/>
    <s v="area_code_415"/>
    <x v="0"/>
    <x v="0"/>
    <n v="42"/>
    <n v="209.2"/>
    <n v="82"/>
    <n v="35.56"/>
    <n v="159.69999999999999"/>
    <n v="74"/>
    <n v="13.57"/>
    <n v="181.6"/>
    <n v="100"/>
    <n v="8.17"/>
    <x v="17"/>
    <x v="0"/>
    <x v="17"/>
    <x v="1"/>
    <x v="0"/>
  </r>
  <r>
    <s v="OR"/>
    <x v="101"/>
    <s v="area_code_415"/>
    <x v="0"/>
    <x v="1"/>
    <n v="0"/>
    <n v="184.8"/>
    <n v="98"/>
    <n v="31.42"/>
    <n v="216.4"/>
    <n v="125"/>
    <n v="18.39"/>
    <n v="141.1"/>
    <n v="116"/>
    <n v="6.35"/>
    <x v="144"/>
    <x v="0"/>
    <x v="144"/>
    <x v="2"/>
    <x v="0"/>
  </r>
  <r>
    <s v="SD"/>
    <x v="43"/>
    <s v="area_code_408"/>
    <x v="0"/>
    <x v="1"/>
    <n v="0"/>
    <n v="167.8"/>
    <n v="119"/>
    <n v="28.53"/>
    <n v="142"/>
    <n v="123"/>
    <n v="12.07"/>
    <n v="190.7"/>
    <n v="128"/>
    <n v="8.58"/>
    <x v="48"/>
    <x v="4"/>
    <x v="48"/>
    <x v="2"/>
    <x v="0"/>
  </r>
  <r>
    <s v="DE"/>
    <x v="26"/>
    <s v="area_code_408"/>
    <x v="0"/>
    <x v="1"/>
    <n v="0"/>
    <n v="139.19999999999999"/>
    <n v="140"/>
    <n v="23.66"/>
    <n v="191.4"/>
    <n v="113"/>
    <n v="16.27"/>
    <n v="286.5"/>
    <n v="125"/>
    <n v="12.89"/>
    <x v="23"/>
    <x v="0"/>
    <x v="23"/>
    <x v="3"/>
    <x v="0"/>
  </r>
  <r>
    <s v="NE"/>
    <x v="80"/>
    <s v="area_code_510"/>
    <x v="0"/>
    <x v="1"/>
    <n v="0"/>
    <n v="121.6"/>
    <n v="84"/>
    <n v="20.67"/>
    <n v="165.3"/>
    <n v="115"/>
    <n v="14.05"/>
    <n v="243.9"/>
    <n v="95"/>
    <n v="10.98"/>
    <x v="56"/>
    <x v="5"/>
    <x v="56"/>
    <x v="0"/>
    <x v="0"/>
  </r>
  <r>
    <s v="OH"/>
    <x v="106"/>
    <s v="area_code_408"/>
    <x v="0"/>
    <x v="0"/>
    <n v="39"/>
    <n v="270.39999999999998"/>
    <n v="99"/>
    <n v="45.97"/>
    <n v="245.1"/>
    <n v="110"/>
    <n v="20.83"/>
    <n v="108.9"/>
    <n v="113"/>
    <n v="4.9000000000000004"/>
    <x v="93"/>
    <x v="2"/>
    <x v="93"/>
    <x v="0"/>
    <x v="0"/>
  </r>
  <r>
    <s v="OH"/>
    <x v="76"/>
    <s v="area_code_408"/>
    <x v="0"/>
    <x v="1"/>
    <n v="0"/>
    <n v="139.6"/>
    <n v="94"/>
    <n v="23.73"/>
    <n v="240.9"/>
    <n v="112"/>
    <n v="20.48"/>
    <n v="127.1"/>
    <n v="88"/>
    <n v="5.72"/>
    <x v="82"/>
    <x v="4"/>
    <x v="82"/>
    <x v="2"/>
    <x v="0"/>
  </r>
  <r>
    <s v="AR"/>
    <x v="43"/>
    <s v="area_code_415"/>
    <x v="0"/>
    <x v="0"/>
    <n v="23"/>
    <n v="253"/>
    <n v="78"/>
    <n v="43.01"/>
    <n v="138.9"/>
    <n v="121"/>
    <n v="11.81"/>
    <n v="277.8"/>
    <n v="104"/>
    <n v="12.5"/>
    <x v="23"/>
    <x v="0"/>
    <x v="23"/>
    <x v="2"/>
    <x v="0"/>
  </r>
  <r>
    <s v="KS"/>
    <x v="51"/>
    <s v="area_code_510"/>
    <x v="0"/>
    <x v="0"/>
    <n v="26"/>
    <n v="183.9"/>
    <n v="83"/>
    <n v="31.26"/>
    <n v="240.7"/>
    <n v="93"/>
    <n v="20.46"/>
    <n v="185.7"/>
    <n v="125"/>
    <n v="8.36"/>
    <x v="51"/>
    <x v="0"/>
    <x v="51"/>
    <x v="0"/>
    <x v="0"/>
  </r>
  <r>
    <s v="TX"/>
    <x v="64"/>
    <s v="area_code_415"/>
    <x v="0"/>
    <x v="1"/>
    <n v="0"/>
    <n v="203.3"/>
    <n v="108"/>
    <n v="34.56"/>
    <n v="259.89999999999998"/>
    <n v="66"/>
    <n v="22.09"/>
    <n v="115.9"/>
    <n v="103"/>
    <n v="5.22"/>
    <x v="35"/>
    <x v="5"/>
    <x v="35"/>
    <x v="3"/>
    <x v="0"/>
  </r>
  <r>
    <s v="WI"/>
    <x v="147"/>
    <s v="area_code_408"/>
    <x v="0"/>
    <x v="1"/>
    <n v="0"/>
    <n v="200.6"/>
    <n v="106"/>
    <n v="34.1"/>
    <n v="152.5"/>
    <n v="127"/>
    <n v="12.96"/>
    <n v="199.4"/>
    <n v="128"/>
    <n v="8.9700000000000006"/>
    <x v="18"/>
    <x v="5"/>
    <x v="18"/>
    <x v="3"/>
    <x v="0"/>
  </r>
  <r>
    <s v="OR"/>
    <x v="11"/>
    <s v="area_code_415"/>
    <x v="0"/>
    <x v="1"/>
    <n v="0"/>
    <n v="167.6"/>
    <n v="96"/>
    <n v="28.49"/>
    <n v="176"/>
    <n v="89"/>
    <n v="14.96"/>
    <n v="250.9"/>
    <n v="113"/>
    <n v="11.29"/>
    <x v="83"/>
    <x v="3"/>
    <x v="83"/>
    <x v="2"/>
    <x v="0"/>
  </r>
  <r>
    <s v="VA"/>
    <x v="147"/>
    <s v="area_code_408"/>
    <x v="0"/>
    <x v="1"/>
    <n v="0"/>
    <n v="156.5"/>
    <n v="67"/>
    <n v="26.61"/>
    <n v="204.3"/>
    <n v="103"/>
    <n v="17.37"/>
    <n v="141.9"/>
    <n v="72"/>
    <n v="6.39"/>
    <x v="79"/>
    <x v="5"/>
    <x v="79"/>
    <x v="2"/>
    <x v="0"/>
  </r>
  <r>
    <s v="AR"/>
    <x v="121"/>
    <s v="area_code_415"/>
    <x v="0"/>
    <x v="0"/>
    <n v="25"/>
    <n v="215.1"/>
    <n v="140"/>
    <n v="36.57"/>
    <n v="197.4"/>
    <n v="69"/>
    <n v="16.78"/>
    <n v="162.1"/>
    <n v="117"/>
    <n v="7.29"/>
    <x v="15"/>
    <x v="11"/>
    <x v="15"/>
    <x v="0"/>
    <x v="0"/>
  </r>
  <r>
    <s v="CT"/>
    <x v="54"/>
    <s v="area_code_408"/>
    <x v="0"/>
    <x v="1"/>
    <n v="0"/>
    <n v="301.7"/>
    <n v="82"/>
    <n v="51.29"/>
    <n v="167.1"/>
    <n v="118"/>
    <n v="14.2"/>
    <n v="72.2"/>
    <n v="89"/>
    <n v="3.25"/>
    <x v="26"/>
    <x v="3"/>
    <x v="26"/>
    <x v="0"/>
    <x v="0"/>
  </r>
  <r>
    <s v="OH"/>
    <x v="67"/>
    <s v="area_code_415"/>
    <x v="0"/>
    <x v="0"/>
    <n v="42"/>
    <n v="152.30000000000001"/>
    <n v="90"/>
    <n v="25.89"/>
    <n v="267.5"/>
    <n v="102"/>
    <n v="22.74"/>
    <n v="266.89999999999998"/>
    <n v="130"/>
    <n v="12.01"/>
    <x v="61"/>
    <x v="1"/>
    <x v="61"/>
    <x v="6"/>
    <x v="0"/>
  </r>
  <r>
    <s v="WY"/>
    <x v="90"/>
    <s v="area_code_510"/>
    <x v="0"/>
    <x v="1"/>
    <n v="0"/>
    <n v="195.4"/>
    <n v="116"/>
    <n v="33.22"/>
    <n v="212.1"/>
    <n v="101"/>
    <n v="18.03"/>
    <n v="138.4"/>
    <n v="134"/>
    <n v="6.23"/>
    <x v="127"/>
    <x v="12"/>
    <x v="127"/>
    <x v="0"/>
    <x v="0"/>
  </r>
  <r>
    <s v="IL"/>
    <x v="58"/>
    <s v="area_code_408"/>
    <x v="0"/>
    <x v="1"/>
    <n v="0"/>
    <n v="208.7"/>
    <n v="97"/>
    <n v="35.479999999999997"/>
    <n v="275.5"/>
    <n v="83"/>
    <n v="23.42"/>
    <n v="182.5"/>
    <n v="122"/>
    <n v="8.2100000000000009"/>
    <x v="40"/>
    <x v="0"/>
    <x v="40"/>
    <x v="2"/>
    <x v="0"/>
  </r>
  <r>
    <s v="DC"/>
    <x v="7"/>
    <s v="area_code_415"/>
    <x v="0"/>
    <x v="0"/>
    <n v="37"/>
    <n v="185.4"/>
    <n v="87"/>
    <n v="31.52"/>
    <n v="178.5"/>
    <n v="128"/>
    <n v="15.17"/>
    <n v="218.3"/>
    <n v="107"/>
    <n v="9.82"/>
    <x v="40"/>
    <x v="0"/>
    <x v="40"/>
    <x v="4"/>
    <x v="0"/>
  </r>
  <r>
    <s v="MA"/>
    <x v="126"/>
    <s v="area_code_415"/>
    <x v="0"/>
    <x v="0"/>
    <n v="17"/>
    <n v="183.2"/>
    <n v="95"/>
    <n v="31.14"/>
    <n v="252.8"/>
    <n v="125"/>
    <n v="21.49"/>
    <n v="156.69999999999999"/>
    <n v="95"/>
    <n v="7.05"/>
    <x v="84"/>
    <x v="0"/>
    <x v="84"/>
    <x v="1"/>
    <x v="0"/>
  </r>
  <r>
    <s v="NH"/>
    <x v="6"/>
    <s v="area_code_510"/>
    <x v="1"/>
    <x v="1"/>
    <n v="0"/>
    <n v="54.2"/>
    <n v="100"/>
    <n v="9.2100000000000009"/>
    <n v="303.2"/>
    <n v="84"/>
    <n v="25.77"/>
    <n v="171.8"/>
    <n v="84"/>
    <n v="7.73"/>
    <x v="53"/>
    <x v="5"/>
    <x v="53"/>
    <x v="0"/>
    <x v="1"/>
  </r>
  <r>
    <s v="IA"/>
    <x v="173"/>
    <s v="area_code_408"/>
    <x v="0"/>
    <x v="0"/>
    <n v="26"/>
    <n v="208"/>
    <n v="115"/>
    <n v="35.36"/>
    <n v="185"/>
    <n v="113"/>
    <n v="15.73"/>
    <n v="177.7"/>
    <n v="144"/>
    <n v="8"/>
    <x v="111"/>
    <x v="6"/>
    <x v="111"/>
    <x v="0"/>
    <x v="0"/>
  </r>
  <r>
    <s v="AL"/>
    <x v="58"/>
    <s v="area_code_415"/>
    <x v="0"/>
    <x v="1"/>
    <n v="0"/>
    <n v="230.3"/>
    <n v="110"/>
    <n v="39.15"/>
    <n v="77.900000000000006"/>
    <n v="87"/>
    <n v="6.62"/>
    <n v="247.1"/>
    <n v="105"/>
    <n v="11.12"/>
    <x v="32"/>
    <x v="4"/>
    <x v="32"/>
    <x v="0"/>
    <x v="0"/>
  </r>
  <r>
    <s v="OR"/>
    <x v="137"/>
    <s v="area_code_510"/>
    <x v="0"/>
    <x v="0"/>
    <n v="22"/>
    <n v="240.8"/>
    <n v="102"/>
    <n v="40.94"/>
    <n v="75.900000000000006"/>
    <n v="106"/>
    <n v="6.45"/>
    <n v="224.6"/>
    <n v="115"/>
    <n v="10.11"/>
    <x v="5"/>
    <x v="0"/>
    <x v="5"/>
    <x v="2"/>
    <x v="0"/>
  </r>
  <r>
    <s v="WV"/>
    <x v="36"/>
    <s v="area_code_510"/>
    <x v="0"/>
    <x v="0"/>
    <n v="21"/>
    <n v="195.7"/>
    <n v="119"/>
    <n v="33.270000000000003"/>
    <n v="106.2"/>
    <n v="95"/>
    <n v="9.0299999999999994"/>
    <n v="157.4"/>
    <n v="94"/>
    <n v="7.08"/>
    <x v="58"/>
    <x v="0"/>
    <x v="58"/>
    <x v="2"/>
    <x v="0"/>
  </r>
  <r>
    <s v="WA"/>
    <x v="35"/>
    <s v="area_code_408"/>
    <x v="0"/>
    <x v="1"/>
    <n v="0"/>
    <n v="276.10000000000002"/>
    <n v="82"/>
    <n v="46.94"/>
    <n v="201.1"/>
    <n v="106"/>
    <n v="17.09"/>
    <n v="231.3"/>
    <n v="73"/>
    <n v="10.41"/>
    <x v="56"/>
    <x v="4"/>
    <x v="56"/>
    <x v="1"/>
    <x v="1"/>
  </r>
  <r>
    <s v="NV"/>
    <x v="102"/>
    <s v="area_code_408"/>
    <x v="0"/>
    <x v="1"/>
    <n v="0"/>
    <n v="166.1"/>
    <n v="93"/>
    <n v="28.24"/>
    <n v="175.9"/>
    <n v="106"/>
    <n v="14.95"/>
    <n v="243.5"/>
    <n v="55"/>
    <n v="10.96"/>
    <x v="76"/>
    <x v="0"/>
    <x v="76"/>
    <x v="2"/>
    <x v="0"/>
  </r>
  <r>
    <s v="SC"/>
    <x v="16"/>
    <s v="area_code_510"/>
    <x v="0"/>
    <x v="0"/>
    <n v="28"/>
    <n v="135.9"/>
    <n v="117"/>
    <n v="23.1"/>
    <n v="244.5"/>
    <n v="102"/>
    <n v="20.78"/>
    <n v="207.5"/>
    <n v="74"/>
    <n v="9.34"/>
    <x v="73"/>
    <x v="0"/>
    <x v="73"/>
    <x v="4"/>
    <x v="1"/>
  </r>
  <r>
    <s v="NC"/>
    <x v="62"/>
    <s v="area_code_415"/>
    <x v="1"/>
    <x v="1"/>
    <n v="0"/>
    <n v="189.1"/>
    <n v="122"/>
    <n v="32.15"/>
    <n v="223.2"/>
    <n v="92"/>
    <n v="18.97"/>
    <n v="269"/>
    <n v="116"/>
    <n v="12.11"/>
    <x v="55"/>
    <x v="0"/>
    <x v="55"/>
    <x v="2"/>
    <x v="1"/>
  </r>
  <r>
    <s v="NH"/>
    <x v="64"/>
    <s v="area_code_510"/>
    <x v="0"/>
    <x v="0"/>
    <n v="43"/>
    <n v="177.9"/>
    <n v="117"/>
    <n v="30.24"/>
    <n v="175.1"/>
    <n v="70"/>
    <n v="14.88"/>
    <n v="161.30000000000001"/>
    <n v="117"/>
    <n v="7.26"/>
    <x v="73"/>
    <x v="4"/>
    <x v="73"/>
    <x v="0"/>
    <x v="0"/>
  </r>
  <r>
    <s v="WY"/>
    <x v="21"/>
    <s v="area_code_408"/>
    <x v="0"/>
    <x v="0"/>
    <n v="39"/>
    <n v="143.9"/>
    <n v="73"/>
    <n v="24.46"/>
    <n v="210.3"/>
    <n v="117"/>
    <n v="17.88"/>
    <n v="129.19999999999999"/>
    <n v="117"/>
    <n v="5.81"/>
    <x v="60"/>
    <x v="10"/>
    <x v="60"/>
    <x v="2"/>
    <x v="0"/>
  </r>
  <r>
    <s v="FL"/>
    <x v="88"/>
    <s v="area_code_510"/>
    <x v="1"/>
    <x v="1"/>
    <n v="0"/>
    <n v="148.19999999999999"/>
    <n v="138"/>
    <n v="25.19"/>
    <n v="159.6"/>
    <n v="123"/>
    <n v="13.57"/>
    <n v="197.4"/>
    <n v="62"/>
    <n v="8.8800000000000008"/>
    <x v="53"/>
    <x v="0"/>
    <x v="53"/>
    <x v="2"/>
    <x v="0"/>
  </r>
  <r>
    <s v="PA"/>
    <x v="115"/>
    <s v="area_code_408"/>
    <x v="0"/>
    <x v="1"/>
    <n v="0"/>
    <n v="287.10000000000002"/>
    <n v="115"/>
    <n v="48.81"/>
    <n v="159.30000000000001"/>
    <n v="99"/>
    <n v="13.54"/>
    <n v="216.8"/>
    <n v="86"/>
    <n v="9.76"/>
    <x v="55"/>
    <x v="8"/>
    <x v="55"/>
    <x v="2"/>
    <x v="1"/>
  </r>
  <r>
    <s v="NC"/>
    <x v="52"/>
    <s v="area_code_408"/>
    <x v="0"/>
    <x v="0"/>
    <n v="26"/>
    <n v="179.7"/>
    <n v="144"/>
    <n v="30.55"/>
    <n v="218.1"/>
    <n v="129"/>
    <n v="18.54"/>
    <n v="212.3"/>
    <n v="105"/>
    <n v="9.5500000000000007"/>
    <x v="38"/>
    <x v="10"/>
    <x v="38"/>
    <x v="0"/>
    <x v="1"/>
  </r>
  <r>
    <s v="MO"/>
    <x v="13"/>
    <s v="area_code_510"/>
    <x v="0"/>
    <x v="1"/>
    <n v="0"/>
    <n v="165.8"/>
    <n v="96"/>
    <n v="28.19"/>
    <n v="190"/>
    <n v="141"/>
    <n v="16.149999999999999"/>
    <n v="144"/>
    <n v="116"/>
    <n v="6.48"/>
    <x v="54"/>
    <x v="0"/>
    <x v="54"/>
    <x v="5"/>
    <x v="1"/>
  </r>
  <r>
    <s v="KS"/>
    <x v="116"/>
    <s v="area_code_510"/>
    <x v="0"/>
    <x v="0"/>
    <n v="25"/>
    <n v="144.1"/>
    <n v="144"/>
    <n v="24.5"/>
    <n v="167.6"/>
    <n v="105"/>
    <n v="14.25"/>
    <n v="240"/>
    <n v="107"/>
    <n v="10.8"/>
    <x v="25"/>
    <x v="0"/>
    <x v="25"/>
    <x v="0"/>
    <x v="0"/>
  </r>
  <r>
    <s v="KY"/>
    <x v="161"/>
    <s v="area_code_415"/>
    <x v="0"/>
    <x v="1"/>
    <n v="0"/>
    <n v="172.5"/>
    <n v="85"/>
    <n v="29.33"/>
    <n v="253.1"/>
    <n v="71"/>
    <n v="21.51"/>
    <n v="221.6"/>
    <n v="113"/>
    <n v="9.9700000000000006"/>
    <x v="96"/>
    <x v="3"/>
    <x v="96"/>
    <x v="1"/>
    <x v="0"/>
  </r>
  <r>
    <s v="WI"/>
    <x v="93"/>
    <s v="area_code_510"/>
    <x v="0"/>
    <x v="1"/>
    <n v="0"/>
    <n v="109.1"/>
    <n v="134"/>
    <n v="18.55"/>
    <n v="142.30000000000001"/>
    <n v="76"/>
    <n v="12.1"/>
    <n v="91.2"/>
    <n v="86"/>
    <n v="4.0999999999999996"/>
    <x v="54"/>
    <x v="1"/>
    <x v="54"/>
    <x v="2"/>
    <x v="0"/>
  </r>
  <r>
    <s v="CO"/>
    <x v="112"/>
    <s v="area_code_408"/>
    <x v="0"/>
    <x v="1"/>
    <n v="0"/>
    <n v="171.8"/>
    <n v="106"/>
    <n v="29.21"/>
    <n v="301.7"/>
    <n v="44"/>
    <n v="25.64"/>
    <n v="139.4"/>
    <n v="108"/>
    <n v="6.27"/>
    <x v="84"/>
    <x v="1"/>
    <x v="84"/>
    <x v="0"/>
    <x v="0"/>
  </r>
  <r>
    <s v="NM"/>
    <x v="0"/>
    <s v="area_code_415"/>
    <x v="0"/>
    <x v="1"/>
    <n v="0"/>
    <n v="222.3"/>
    <n v="101"/>
    <n v="37.79"/>
    <n v="286"/>
    <n v="111"/>
    <n v="24.31"/>
    <n v="249.4"/>
    <n v="117"/>
    <n v="11.22"/>
    <x v="47"/>
    <x v="4"/>
    <x v="47"/>
    <x v="0"/>
    <x v="1"/>
  </r>
  <r>
    <s v="IL"/>
    <x v="43"/>
    <s v="area_code_510"/>
    <x v="0"/>
    <x v="1"/>
    <n v="0"/>
    <n v="164.6"/>
    <n v="110"/>
    <n v="27.98"/>
    <n v="270.60000000000002"/>
    <n v="103"/>
    <n v="23"/>
    <n v="230.4"/>
    <n v="109"/>
    <n v="10.37"/>
    <x v="40"/>
    <x v="0"/>
    <x v="40"/>
    <x v="1"/>
    <x v="0"/>
  </r>
  <r>
    <s v="WA"/>
    <x v="69"/>
    <s v="area_code_408"/>
    <x v="0"/>
    <x v="1"/>
    <n v="0"/>
    <n v="211.7"/>
    <n v="107"/>
    <n v="35.99"/>
    <n v="271.7"/>
    <n v="77"/>
    <n v="23.09"/>
    <n v="203.3"/>
    <n v="108"/>
    <n v="9.15"/>
    <x v="33"/>
    <x v="2"/>
    <x v="33"/>
    <x v="1"/>
    <x v="0"/>
  </r>
  <r>
    <s v="MA"/>
    <x v="115"/>
    <s v="area_code_408"/>
    <x v="1"/>
    <x v="0"/>
    <n v="16"/>
    <n v="147.19999999999999"/>
    <n v="103"/>
    <n v="25.02"/>
    <n v="160.1"/>
    <n v="96"/>
    <n v="13.61"/>
    <n v="184"/>
    <n v="120"/>
    <n v="8.2799999999999994"/>
    <x v="18"/>
    <x v="5"/>
    <x v="18"/>
    <x v="1"/>
    <x v="1"/>
  </r>
  <r>
    <s v="OH"/>
    <x v="139"/>
    <s v="area_code_408"/>
    <x v="1"/>
    <x v="1"/>
    <n v="0"/>
    <n v="254.7"/>
    <n v="103"/>
    <n v="43.3"/>
    <n v="252.2"/>
    <n v="80"/>
    <n v="21.44"/>
    <n v="178.1"/>
    <n v="103"/>
    <n v="8.01"/>
    <x v="40"/>
    <x v="0"/>
    <x v="40"/>
    <x v="1"/>
    <x v="1"/>
  </r>
  <r>
    <s v="TN"/>
    <x v="60"/>
    <s v="area_code_408"/>
    <x v="1"/>
    <x v="1"/>
    <n v="0"/>
    <n v="170.1"/>
    <n v="113"/>
    <n v="28.92"/>
    <n v="271.8"/>
    <n v="94"/>
    <n v="23.1"/>
    <n v="110.7"/>
    <n v="78"/>
    <n v="4.9800000000000004"/>
    <x v="6"/>
    <x v="4"/>
    <x v="6"/>
    <x v="0"/>
    <x v="0"/>
  </r>
  <r>
    <s v="MA"/>
    <x v="155"/>
    <s v="area_code_510"/>
    <x v="0"/>
    <x v="1"/>
    <n v="0"/>
    <n v="195.1"/>
    <n v="91"/>
    <n v="33.17"/>
    <n v="261.5"/>
    <n v="57"/>
    <n v="22.23"/>
    <n v="203.8"/>
    <n v="90"/>
    <n v="9.17"/>
    <x v="37"/>
    <x v="1"/>
    <x v="37"/>
    <x v="1"/>
    <x v="0"/>
  </r>
  <r>
    <s v="MI"/>
    <x v="117"/>
    <s v="area_code_408"/>
    <x v="0"/>
    <x v="1"/>
    <n v="0"/>
    <n v="149.30000000000001"/>
    <n v="83"/>
    <n v="25.38"/>
    <n v="187.1"/>
    <n v="130"/>
    <n v="15.9"/>
    <n v="149.80000000000001"/>
    <n v="100"/>
    <n v="6.74"/>
    <x v="57"/>
    <x v="4"/>
    <x v="57"/>
    <x v="6"/>
    <x v="1"/>
  </r>
  <r>
    <s v="TX"/>
    <x v="115"/>
    <s v="area_code_510"/>
    <x v="0"/>
    <x v="1"/>
    <n v="0"/>
    <n v="81.900000000000006"/>
    <n v="75"/>
    <n v="13.92"/>
    <n v="253.8"/>
    <n v="114"/>
    <n v="21.57"/>
    <n v="213.1"/>
    <n v="125"/>
    <n v="9.59"/>
    <x v="56"/>
    <x v="8"/>
    <x v="56"/>
    <x v="2"/>
    <x v="1"/>
  </r>
  <r>
    <s v="NH"/>
    <x v="34"/>
    <s v="area_code_408"/>
    <x v="1"/>
    <x v="0"/>
    <n v="25"/>
    <n v="191.1"/>
    <n v="109"/>
    <n v="32.49"/>
    <n v="149.6"/>
    <n v="120"/>
    <n v="12.72"/>
    <n v="227.8"/>
    <n v="60"/>
    <n v="10.25"/>
    <x v="52"/>
    <x v="0"/>
    <x v="52"/>
    <x v="1"/>
    <x v="0"/>
  </r>
  <r>
    <s v="MS"/>
    <x v="116"/>
    <s v="area_code_408"/>
    <x v="0"/>
    <x v="1"/>
    <n v="0"/>
    <n v="239"/>
    <n v="156"/>
    <n v="40.630000000000003"/>
    <n v="273"/>
    <n v="106"/>
    <n v="23.21"/>
    <n v="278.2"/>
    <n v="93"/>
    <n v="12.52"/>
    <x v="88"/>
    <x v="10"/>
    <x v="88"/>
    <x v="0"/>
    <x v="1"/>
  </r>
  <r>
    <s v="AZ"/>
    <x v="47"/>
    <s v="area_code_415"/>
    <x v="0"/>
    <x v="1"/>
    <n v="0"/>
    <n v="179.3"/>
    <n v="97"/>
    <n v="30.48"/>
    <n v="252.7"/>
    <n v="126"/>
    <n v="21.48"/>
    <n v="227.5"/>
    <n v="114"/>
    <n v="10.24"/>
    <x v="40"/>
    <x v="1"/>
    <x v="40"/>
    <x v="1"/>
    <x v="0"/>
  </r>
  <r>
    <s v="IN"/>
    <x v="155"/>
    <s v="area_code_408"/>
    <x v="0"/>
    <x v="1"/>
    <n v="0"/>
    <n v="185.3"/>
    <n v="91"/>
    <n v="31.5"/>
    <n v="219.1"/>
    <n v="88"/>
    <n v="18.62"/>
    <n v="243.6"/>
    <n v="107"/>
    <n v="10.96"/>
    <x v="129"/>
    <x v="1"/>
    <x v="129"/>
    <x v="1"/>
    <x v="0"/>
  </r>
  <r>
    <s v="NY"/>
    <x v="198"/>
    <s v="area_code_510"/>
    <x v="1"/>
    <x v="1"/>
    <n v="0"/>
    <n v="141.4"/>
    <n v="80"/>
    <n v="24.04"/>
    <n v="123.9"/>
    <n v="76"/>
    <n v="10.53"/>
    <n v="323.5"/>
    <n v="88"/>
    <n v="14.56"/>
    <x v="111"/>
    <x v="0"/>
    <x v="111"/>
    <x v="2"/>
    <x v="0"/>
  </r>
  <r>
    <s v="WI"/>
    <x v="0"/>
    <s v="area_code_510"/>
    <x v="0"/>
    <x v="0"/>
    <n v="25"/>
    <n v="248.6"/>
    <n v="91"/>
    <n v="42.26"/>
    <n v="119.3"/>
    <n v="115"/>
    <n v="10.14"/>
    <n v="194.3"/>
    <n v="83"/>
    <n v="8.74"/>
    <x v="42"/>
    <x v="8"/>
    <x v="42"/>
    <x v="0"/>
    <x v="0"/>
  </r>
  <r>
    <s v="WV"/>
    <x v="93"/>
    <s v="area_code_510"/>
    <x v="0"/>
    <x v="1"/>
    <n v="0"/>
    <n v="152.5"/>
    <n v="131"/>
    <n v="25.93"/>
    <n v="252.4"/>
    <n v="107"/>
    <n v="21.45"/>
    <n v="185.4"/>
    <n v="104"/>
    <n v="8.34"/>
    <x v="140"/>
    <x v="0"/>
    <x v="140"/>
    <x v="2"/>
    <x v="0"/>
  </r>
  <r>
    <s v="NY"/>
    <x v="63"/>
    <s v="area_code_415"/>
    <x v="0"/>
    <x v="1"/>
    <n v="0"/>
    <n v="145.6"/>
    <n v="102"/>
    <n v="24.75"/>
    <n v="230.9"/>
    <n v="87"/>
    <n v="19.63"/>
    <n v="181.5"/>
    <n v="86"/>
    <n v="8.17"/>
    <x v="37"/>
    <x v="2"/>
    <x v="37"/>
    <x v="0"/>
    <x v="0"/>
  </r>
  <r>
    <s v="OK"/>
    <x v="57"/>
    <s v="area_code_415"/>
    <x v="0"/>
    <x v="1"/>
    <n v="0"/>
    <n v="164.2"/>
    <n v="116"/>
    <n v="27.91"/>
    <n v="196.2"/>
    <n v="153"/>
    <n v="16.68"/>
    <n v="236.1"/>
    <n v="119"/>
    <n v="10.62"/>
    <x v="111"/>
    <x v="8"/>
    <x v="111"/>
    <x v="0"/>
    <x v="0"/>
  </r>
  <r>
    <s v="NC"/>
    <x v="132"/>
    <s v="area_code_408"/>
    <x v="1"/>
    <x v="1"/>
    <n v="0"/>
    <n v="221"/>
    <n v="115"/>
    <n v="37.57"/>
    <n v="165.4"/>
    <n v="97"/>
    <n v="14.06"/>
    <n v="235.4"/>
    <n v="117"/>
    <n v="10.59"/>
    <x v="84"/>
    <x v="4"/>
    <x v="84"/>
    <x v="0"/>
    <x v="0"/>
  </r>
  <r>
    <s v="CT"/>
    <x v="80"/>
    <s v="area_code_415"/>
    <x v="0"/>
    <x v="1"/>
    <n v="0"/>
    <n v="162.30000000000001"/>
    <n v="99"/>
    <n v="27.59"/>
    <n v="149.1"/>
    <n v="78"/>
    <n v="12.67"/>
    <n v="255.5"/>
    <n v="115"/>
    <n v="11.5"/>
    <x v="102"/>
    <x v="8"/>
    <x v="102"/>
    <x v="4"/>
    <x v="1"/>
  </r>
  <r>
    <s v="NE"/>
    <x v="14"/>
    <s v="area_code_415"/>
    <x v="0"/>
    <x v="1"/>
    <n v="0"/>
    <n v="272.7"/>
    <n v="97"/>
    <n v="46.36"/>
    <n v="236.4"/>
    <n v="95"/>
    <n v="20.09"/>
    <n v="235.5"/>
    <n v="105"/>
    <n v="10.6"/>
    <x v="18"/>
    <x v="5"/>
    <x v="18"/>
    <x v="1"/>
    <x v="1"/>
  </r>
  <r>
    <s v="HI"/>
    <x v="19"/>
    <s v="area_code_408"/>
    <x v="1"/>
    <x v="0"/>
    <n v="33"/>
    <n v="200.3"/>
    <n v="75"/>
    <n v="34.049999999999997"/>
    <n v="226.6"/>
    <n v="67"/>
    <n v="19.260000000000002"/>
    <n v="198.8"/>
    <n v="91"/>
    <n v="8.9499999999999993"/>
    <x v="89"/>
    <x v="0"/>
    <x v="89"/>
    <x v="2"/>
    <x v="0"/>
  </r>
  <r>
    <s v="SC"/>
    <x v="141"/>
    <s v="area_code_510"/>
    <x v="0"/>
    <x v="0"/>
    <n v="28"/>
    <n v="157.1"/>
    <n v="77"/>
    <n v="26.71"/>
    <n v="172.4"/>
    <n v="97"/>
    <n v="14.65"/>
    <n v="184.5"/>
    <n v="94"/>
    <n v="8.3000000000000007"/>
    <x v="22"/>
    <x v="6"/>
    <x v="22"/>
    <x v="0"/>
    <x v="0"/>
  </r>
  <r>
    <s v="AK"/>
    <x v="97"/>
    <s v="area_code_510"/>
    <x v="1"/>
    <x v="0"/>
    <n v="12"/>
    <n v="135.80000000000001"/>
    <n v="60"/>
    <n v="23.09"/>
    <n v="200.6"/>
    <n v="134"/>
    <n v="17.05"/>
    <n v="192.4"/>
    <n v="98"/>
    <n v="8.66"/>
    <x v="10"/>
    <x v="2"/>
    <x v="10"/>
    <x v="2"/>
    <x v="0"/>
  </r>
  <r>
    <s v="SD"/>
    <x v="168"/>
    <s v="area_code_408"/>
    <x v="0"/>
    <x v="1"/>
    <n v="0"/>
    <n v="236.7"/>
    <n v="110"/>
    <n v="40.24"/>
    <n v="231.9"/>
    <n v="92"/>
    <n v="19.71"/>
    <n v="164.7"/>
    <n v="85"/>
    <n v="7.41"/>
    <x v="8"/>
    <x v="3"/>
    <x v="8"/>
    <x v="0"/>
    <x v="0"/>
  </r>
  <r>
    <s v="ID"/>
    <x v="140"/>
    <s v="area_code_510"/>
    <x v="0"/>
    <x v="1"/>
    <n v="0"/>
    <n v="111.4"/>
    <n v="133"/>
    <n v="18.940000000000001"/>
    <n v="175"/>
    <n v="66"/>
    <n v="14.88"/>
    <n v="217.2"/>
    <n v="106"/>
    <n v="9.77"/>
    <x v="129"/>
    <x v="3"/>
    <x v="129"/>
    <x v="3"/>
    <x v="0"/>
  </r>
  <r>
    <s v="OK"/>
    <x v="102"/>
    <s v="area_code_510"/>
    <x v="1"/>
    <x v="0"/>
    <n v="28"/>
    <n v="156.1"/>
    <n v="89"/>
    <n v="26.54"/>
    <n v="107.1"/>
    <n v="114"/>
    <n v="9.1"/>
    <n v="167.7"/>
    <n v="95"/>
    <n v="7.55"/>
    <x v="20"/>
    <x v="0"/>
    <x v="20"/>
    <x v="1"/>
    <x v="1"/>
  </r>
  <r>
    <s v="WA"/>
    <x v="6"/>
    <s v="area_code_408"/>
    <x v="0"/>
    <x v="1"/>
    <n v="0"/>
    <n v="191.1"/>
    <n v="93"/>
    <n v="32.49"/>
    <n v="282.8"/>
    <n v="56"/>
    <n v="24.04"/>
    <n v="84.8"/>
    <n v="118"/>
    <n v="3.82"/>
    <x v="42"/>
    <x v="4"/>
    <x v="42"/>
    <x v="2"/>
    <x v="0"/>
  </r>
  <r>
    <s v="SD"/>
    <x v="75"/>
    <s v="area_code_415"/>
    <x v="0"/>
    <x v="1"/>
    <n v="0"/>
    <n v="153"/>
    <n v="123"/>
    <n v="26.01"/>
    <n v="141.1"/>
    <n v="127"/>
    <n v="11.99"/>
    <n v="171.5"/>
    <n v="76"/>
    <n v="7.72"/>
    <x v="19"/>
    <x v="9"/>
    <x v="19"/>
    <x v="0"/>
    <x v="1"/>
  </r>
  <r>
    <s v="OH"/>
    <x v="29"/>
    <s v="area_code_415"/>
    <x v="0"/>
    <x v="1"/>
    <n v="0"/>
    <n v="218.8"/>
    <n v="123"/>
    <n v="37.200000000000003"/>
    <n v="242.8"/>
    <n v="64"/>
    <n v="20.64"/>
    <n v="85.8"/>
    <n v="80"/>
    <n v="3.86"/>
    <x v="19"/>
    <x v="0"/>
    <x v="19"/>
    <x v="4"/>
    <x v="0"/>
  </r>
  <r>
    <s v="VA"/>
    <x v="117"/>
    <s v="area_code_415"/>
    <x v="0"/>
    <x v="1"/>
    <n v="0"/>
    <n v="205.4"/>
    <n v="101"/>
    <n v="34.92"/>
    <n v="134.9"/>
    <n v="77"/>
    <n v="11.47"/>
    <n v="310.5"/>
    <n v="83"/>
    <n v="13.97"/>
    <x v="19"/>
    <x v="5"/>
    <x v="19"/>
    <x v="3"/>
    <x v="0"/>
  </r>
  <r>
    <s v="WI"/>
    <x v="5"/>
    <s v="area_code_415"/>
    <x v="1"/>
    <x v="1"/>
    <n v="0"/>
    <n v="225.2"/>
    <n v="111"/>
    <n v="38.28"/>
    <n v="184.9"/>
    <n v="98"/>
    <n v="15.72"/>
    <n v="143.19999999999999"/>
    <n v="146"/>
    <n v="6.44"/>
    <x v="79"/>
    <x v="8"/>
    <x v="79"/>
    <x v="1"/>
    <x v="1"/>
  </r>
  <r>
    <s v="IN"/>
    <x v="90"/>
    <s v="area_code_510"/>
    <x v="0"/>
    <x v="1"/>
    <n v="0"/>
    <n v="249.9"/>
    <n v="127"/>
    <n v="42.48"/>
    <n v="254.5"/>
    <n v="118"/>
    <n v="21.63"/>
    <n v="273.2"/>
    <n v="98"/>
    <n v="12.29"/>
    <x v="56"/>
    <x v="3"/>
    <x v="56"/>
    <x v="2"/>
    <x v="1"/>
  </r>
  <r>
    <s v="NM"/>
    <x v="90"/>
    <s v="area_code_408"/>
    <x v="0"/>
    <x v="1"/>
    <n v="0"/>
    <n v="131.6"/>
    <n v="89"/>
    <n v="22.37"/>
    <n v="137"/>
    <n v="109"/>
    <n v="11.65"/>
    <n v="256.3"/>
    <n v="107"/>
    <n v="11.53"/>
    <x v="39"/>
    <x v="1"/>
    <x v="39"/>
    <x v="3"/>
    <x v="0"/>
  </r>
  <r>
    <s v="HI"/>
    <x v="112"/>
    <s v="area_code_408"/>
    <x v="0"/>
    <x v="0"/>
    <n v="21"/>
    <n v="197.9"/>
    <n v="99"/>
    <n v="33.64"/>
    <n v="165.6"/>
    <n v="100"/>
    <n v="14.08"/>
    <n v="208"/>
    <n v="120"/>
    <n v="9.36"/>
    <x v="3"/>
    <x v="6"/>
    <x v="3"/>
    <x v="1"/>
    <x v="0"/>
  </r>
  <r>
    <s v="KY"/>
    <x v="100"/>
    <s v="area_code_415"/>
    <x v="0"/>
    <x v="1"/>
    <n v="0"/>
    <n v="166.5"/>
    <n v="129"/>
    <n v="28.31"/>
    <n v="210.2"/>
    <n v="107"/>
    <n v="17.87"/>
    <n v="257.2"/>
    <n v="93"/>
    <n v="11.57"/>
    <x v="79"/>
    <x v="1"/>
    <x v="79"/>
    <x v="0"/>
    <x v="0"/>
  </r>
  <r>
    <s v="OH"/>
    <x v="112"/>
    <s v="area_code_415"/>
    <x v="0"/>
    <x v="0"/>
    <n v="29"/>
    <n v="225.4"/>
    <n v="79"/>
    <n v="38.32"/>
    <n v="187.1"/>
    <n v="112"/>
    <n v="15.9"/>
    <n v="281.10000000000002"/>
    <n v="112"/>
    <n v="12.65"/>
    <x v="89"/>
    <x v="0"/>
    <x v="89"/>
    <x v="0"/>
    <x v="0"/>
  </r>
  <r>
    <s v="VT"/>
    <x v="135"/>
    <s v="area_code_415"/>
    <x v="0"/>
    <x v="1"/>
    <n v="0"/>
    <n v="275.8"/>
    <n v="103"/>
    <n v="46.89"/>
    <n v="189.5"/>
    <n v="108"/>
    <n v="16.11"/>
    <n v="223.9"/>
    <n v="93"/>
    <n v="10.08"/>
    <x v="33"/>
    <x v="1"/>
    <x v="33"/>
    <x v="2"/>
    <x v="1"/>
  </r>
  <r>
    <s v="AZ"/>
    <x v="169"/>
    <s v="area_code_415"/>
    <x v="0"/>
    <x v="0"/>
    <n v="40"/>
    <n v="142.9"/>
    <n v="105"/>
    <n v="24.29"/>
    <n v="88.6"/>
    <n v="61"/>
    <n v="7.53"/>
    <n v="290"/>
    <n v="96"/>
    <n v="13.05"/>
    <x v="81"/>
    <x v="3"/>
    <x v="81"/>
    <x v="0"/>
    <x v="0"/>
  </r>
  <r>
    <s v="VT"/>
    <x v="48"/>
    <s v="area_code_510"/>
    <x v="0"/>
    <x v="1"/>
    <n v="0"/>
    <n v="207.2"/>
    <n v="113"/>
    <n v="35.22"/>
    <n v="256"/>
    <n v="80"/>
    <n v="21.76"/>
    <n v="211"/>
    <n v="87"/>
    <n v="9.49"/>
    <x v="79"/>
    <x v="8"/>
    <x v="79"/>
    <x v="0"/>
    <x v="0"/>
  </r>
  <r>
    <s v="MO"/>
    <x v="19"/>
    <s v="area_code_408"/>
    <x v="0"/>
    <x v="1"/>
    <n v="0"/>
    <n v="206.2"/>
    <n v="100"/>
    <n v="35.049999999999997"/>
    <n v="211.2"/>
    <n v="118"/>
    <n v="17.95"/>
    <n v="196.2"/>
    <n v="122"/>
    <n v="8.83"/>
    <x v="39"/>
    <x v="3"/>
    <x v="39"/>
    <x v="0"/>
    <x v="0"/>
  </r>
  <r>
    <s v="AL"/>
    <x v="13"/>
    <s v="area_code_415"/>
    <x v="0"/>
    <x v="1"/>
    <n v="0"/>
    <n v="210.3"/>
    <n v="66"/>
    <n v="35.75"/>
    <n v="195.8"/>
    <n v="76"/>
    <n v="16.64"/>
    <n v="221.6"/>
    <n v="82"/>
    <n v="9.9700000000000006"/>
    <x v="7"/>
    <x v="2"/>
    <x v="7"/>
    <x v="0"/>
    <x v="0"/>
  </r>
  <r>
    <s v="NJ"/>
    <x v="67"/>
    <s v="area_code_510"/>
    <x v="1"/>
    <x v="0"/>
    <n v="38"/>
    <n v="225.7"/>
    <n v="117"/>
    <n v="38.369999999999997"/>
    <n v="119.6"/>
    <n v="122"/>
    <n v="10.17"/>
    <n v="193.2"/>
    <n v="125"/>
    <n v="8.69"/>
    <x v="100"/>
    <x v="2"/>
    <x v="100"/>
    <x v="0"/>
    <x v="1"/>
  </r>
  <r>
    <s v="WA"/>
    <x v="42"/>
    <s v="area_code_408"/>
    <x v="0"/>
    <x v="0"/>
    <n v="33"/>
    <n v="167.8"/>
    <n v="91"/>
    <n v="28.53"/>
    <n v="205.3"/>
    <n v="91"/>
    <n v="17.45"/>
    <n v="130"/>
    <n v="132"/>
    <n v="5.85"/>
    <x v="25"/>
    <x v="4"/>
    <x v="25"/>
    <x v="4"/>
    <x v="1"/>
  </r>
  <r>
    <s v="NY"/>
    <x v="72"/>
    <s v="area_code_415"/>
    <x v="0"/>
    <x v="1"/>
    <n v="0"/>
    <n v="197.7"/>
    <n v="118"/>
    <n v="33.61"/>
    <n v="152.19999999999999"/>
    <n v="96"/>
    <n v="12.94"/>
    <n v="221"/>
    <n v="93"/>
    <n v="9.9499999999999993"/>
    <x v="99"/>
    <x v="0"/>
    <x v="99"/>
    <x v="2"/>
    <x v="0"/>
  </r>
  <r>
    <s v="DC"/>
    <x v="75"/>
    <s v="area_code_415"/>
    <x v="0"/>
    <x v="0"/>
    <n v="39"/>
    <n v="169.8"/>
    <n v="105"/>
    <n v="28.87"/>
    <n v="65.2"/>
    <n v="116"/>
    <n v="5.54"/>
    <n v="144.4"/>
    <n v="92"/>
    <n v="6.5"/>
    <x v="54"/>
    <x v="4"/>
    <x v="54"/>
    <x v="0"/>
    <x v="0"/>
  </r>
  <r>
    <s v="NE"/>
    <x v="105"/>
    <s v="area_code_408"/>
    <x v="0"/>
    <x v="0"/>
    <n v="28"/>
    <n v="190.6"/>
    <n v="104"/>
    <n v="32.4"/>
    <n v="237.3"/>
    <n v="105"/>
    <n v="20.170000000000002"/>
    <n v="211.6"/>
    <n v="116"/>
    <n v="9.52"/>
    <x v="52"/>
    <x v="8"/>
    <x v="52"/>
    <x v="2"/>
    <x v="0"/>
  </r>
  <r>
    <s v="MA"/>
    <x v="105"/>
    <s v="area_code_408"/>
    <x v="0"/>
    <x v="0"/>
    <n v="45"/>
    <n v="80.3"/>
    <n v="140"/>
    <n v="13.65"/>
    <n v="153.30000000000001"/>
    <n v="101"/>
    <n v="13.03"/>
    <n v="309.2"/>
    <n v="123"/>
    <n v="13.91"/>
    <x v="75"/>
    <x v="0"/>
    <x v="75"/>
    <x v="2"/>
    <x v="0"/>
  </r>
  <r>
    <s v="VT"/>
    <x v="193"/>
    <s v="area_code_415"/>
    <x v="0"/>
    <x v="0"/>
    <n v="36"/>
    <n v="231.7"/>
    <n v="110"/>
    <n v="39.39"/>
    <n v="225.1"/>
    <n v="88"/>
    <n v="19.13"/>
    <n v="201.7"/>
    <n v="89"/>
    <n v="9.08"/>
    <x v="47"/>
    <x v="5"/>
    <x v="47"/>
    <x v="1"/>
    <x v="0"/>
  </r>
  <r>
    <s v="NM"/>
    <x v="178"/>
    <s v="area_code_415"/>
    <x v="0"/>
    <x v="1"/>
    <n v="0"/>
    <n v="69.099999999999994"/>
    <n v="114"/>
    <n v="11.75"/>
    <n v="230.3"/>
    <n v="109"/>
    <n v="19.579999999999998"/>
    <n v="256.7"/>
    <n v="96"/>
    <n v="11.55"/>
    <x v="94"/>
    <x v="4"/>
    <x v="94"/>
    <x v="1"/>
    <x v="0"/>
  </r>
  <r>
    <s v="CO"/>
    <x v="98"/>
    <s v="area_code_408"/>
    <x v="0"/>
    <x v="1"/>
    <n v="0"/>
    <n v="188.8"/>
    <n v="60"/>
    <n v="32.1"/>
    <n v="217.4"/>
    <n v="64"/>
    <n v="18.48"/>
    <n v="220.1"/>
    <n v="100"/>
    <n v="9.9"/>
    <x v="45"/>
    <x v="2"/>
    <x v="45"/>
    <x v="4"/>
    <x v="0"/>
  </r>
  <r>
    <s v="NH"/>
    <x v="78"/>
    <s v="area_code_408"/>
    <x v="0"/>
    <x v="1"/>
    <n v="0"/>
    <n v="150.6"/>
    <n v="125"/>
    <n v="25.6"/>
    <n v="169.1"/>
    <n v="126"/>
    <n v="14.37"/>
    <n v="221.2"/>
    <n v="104"/>
    <n v="9.9499999999999993"/>
    <x v="91"/>
    <x v="10"/>
    <x v="91"/>
    <x v="9"/>
    <x v="1"/>
  </r>
  <r>
    <s v="UT"/>
    <x v="72"/>
    <s v="area_code_408"/>
    <x v="0"/>
    <x v="0"/>
    <n v="25"/>
    <n v="163.69999999999999"/>
    <n v="78"/>
    <n v="27.83"/>
    <n v="113.2"/>
    <n v="112"/>
    <n v="9.6199999999999992"/>
    <n v="134.1"/>
    <n v="118"/>
    <n v="6.03"/>
    <x v="79"/>
    <x v="0"/>
    <x v="79"/>
    <x v="3"/>
    <x v="0"/>
  </r>
  <r>
    <s v="WV"/>
    <x v="161"/>
    <s v="area_code_415"/>
    <x v="0"/>
    <x v="1"/>
    <n v="0"/>
    <n v="211.7"/>
    <n v="100"/>
    <n v="35.99"/>
    <n v="198.7"/>
    <n v="101"/>
    <n v="16.89"/>
    <n v="301.7"/>
    <n v="136"/>
    <n v="13.58"/>
    <x v="94"/>
    <x v="6"/>
    <x v="94"/>
    <x v="0"/>
    <x v="0"/>
  </r>
  <r>
    <s v="NJ"/>
    <x v="145"/>
    <s v="area_code_415"/>
    <x v="0"/>
    <x v="1"/>
    <n v="0"/>
    <n v="175.5"/>
    <n v="103"/>
    <n v="29.84"/>
    <n v="132.30000000000001"/>
    <n v="120"/>
    <n v="11.25"/>
    <n v="242.9"/>
    <n v="96"/>
    <n v="10.93"/>
    <x v="23"/>
    <x v="0"/>
    <x v="23"/>
    <x v="0"/>
    <x v="0"/>
  </r>
  <r>
    <s v="NM"/>
    <x v="48"/>
    <s v="area_code_510"/>
    <x v="0"/>
    <x v="1"/>
    <n v="0"/>
    <n v="150.1"/>
    <n v="120"/>
    <n v="25.52"/>
    <n v="200.1"/>
    <n v="85"/>
    <n v="17.010000000000002"/>
    <n v="266.7"/>
    <n v="105"/>
    <n v="12"/>
    <x v="34"/>
    <x v="0"/>
    <x v="34"/>
    <x v="2"/>
    <x v="0"/>
  </r>
  <r>
    <s v="ND"/>
    <x v="181"/>
    <s v="area_code_408"/>
    <x v="0"/>
    <x v="1"/>
    <n v="0"/>
    <n v="189.5"/>
    <n v="99"/>
    <n v="32.22"/>
    <n v="176.3"/>
    <n v="117"/>
    <n v="14.99"/>
    <n v="225.9"/>
    <n v="112"/>
    <n v="10.17"/>
    <x v="66"/>
    <x v="5"/>
    <x v="66"/>
    <x v="0"/>
    <x v="0"/>
  </r>
  <r>
    <s v="WA"/>
    <x v="108"/>
    <s v="area_code_408"/>
    <x v="0"/>
    <x v="1"/>
    <n v="0"/>
    <n v="70.8"/>
    <n v="94"/>
    <n v="12.04"/>
    <n v="215.6"/>
    <n v="102"/>
    <n v="18.329999999999998"/>
    <n v="230.8"/>
    <n v="125"/>
    <n v="10.39"/>
    <x v="17"/>
    <x v="8"/>
    <x v="17"/>
    <x v="8"/>
    <x v="1"/>
  </r>
  <r>
    <s v="DE"/>
    <x v="27"/>
    <s v="area_code_415"/>
    <x v="0"/>
    <x v="1"/>
    <n v="0"/>
    <n v="101.7"/>
    <n v="105"/>
    <n v="17.29"/>
    <n v="202.8"/>
    <n v="99"/>
    <n v="17.239999999999998"/>
    <n v="136.19999999999999"/>
    <n v="119"/>
    <n v="6.13"/>
    <x v="27"/>
    <x v="3"/>
    <x v="27"/>
    <x v="3"/>
    <x v="0"/>
  </r>
  <r>
    <s v="GA"/>
    <x v="144"/>
    <s v="area_code_415"/>
    <x v="0"/>
    <x v="1"/>
    <n v="0"/>
    <n v="258.39999999999998"/>
    <n v="132"/>
    <n v="43.93"/>
    <n v="126.8"/>
    <n v="119"/>
    <n v="10.78"/>
    <n v="182.4"/>
    <n v="87"/>
    <n v="8.2100000000000009"/>
    <x v="84"/>
    <x v="10"/>
    <x v="84"/>
    <x v="4"/>
    <x v="0"/>
  </r>
  <r>
    <s v="HI"/>
    <x v="169"/>
    <s v="area_code_408"/>
    <x v="0"/>
    <x v="1"/>
    <n v="0"/>
    <n v="242.4"/>
    <n v="126"/>
    <n v="41.21"/>
    <n v="152.9"/>
    <n v="115"/>
    <n v="13"/>
    <n v="318.3"/>
    <n v="115"/>
    <n v="14.32"/>
    <x v="23"/>
    <x v="3"/>
    <x v="23"/>
    <x v="0"/>
    <x v="0"/>
  </r>
  <r>
    <s v="ME"/>
    <x v="129"/>
    <s v="area_code_408"/>
    <x v="0"/>
    <x v="1"/>
    <n v="0"/>
    <n v="154.1"/>
    <n v="104"/>
    <n v="26.2"/>
    <n v="204.2"/>
    <n v="112"/>
    <n v="17.36"/>
    <n v="196.2"/>
    <n v="92"/>
    <n v="8.83"/>
    <x v="52"/>
    <x v="4"/>
    <x v="52"/>
    <x v="2"/>
    <x v="0"/>
  </r>
  <r>
    <s v="OK"/>
    <x v="77"/>
    <s v="area_code_510"/>
    <x v="0"/>
    <x v="1"/>
    <n v="0"/>
    <n v="188"/>
    <n v="127"/>
    <n v="31.96"/>
    <n v="90.5"/>
    <n v="118"/>
    <n v="7.69"/>
    <n v="150.30000000000001"/>
    <n v="64"/>
    <n v="6.76"/>
    <x v="107"/>
    <x v="0"/>
    <x v="107"/>
    <x v="3"/>
    <x v="0"/>
  </r>
  <r>
    <s v="TN"/>
    <x v="147"/>
    <s v="area_code_510"/>
    <x v="0"/>
    <x v="1"/>
    <n v="0"/>
    <n v="103.1"/>
    <n v="70"/>
    <n v="17.53"/>
    <n v="275"/>
    <n v="129"/>
    <n v="23.38"/>
    <n v="141.1"/>
    <n v="92"/>
    <n v="6.35"/>
    <x v="7"/>
    <x v="1"/>
    <x v="7"/>
    <x v="0"/>
    <x v="0"/>
  </r>
  <r>
    <s v="WY"/>
    <x v="58"/>
    <s v="area_code_415"/>
    <x v="0"/>
    <x v="1"/>
    <n v="0"/>
    <n v="175.4"/>
    <n v="130"/>
    <n v="29.82"/>
    <n v="159.5"/>
    <n v="130"/>
    <n v="13.56"/>
    <n v="260.60000000000002"/>
    <n v="96"/>
    <n v="11.73"/>
    <x v="43"/>
    <x v="4"/>
    <x v="43"/>
    <x v="1"/>
    <x v="0"/>
  </r>
  <r>
    <s v="NY"/>
    <x v="34"/>
    <s v="area_code_415"/>
    <x v="0"/>
    <x v="1"/>
    <n v="0"/>
    <n v="145.4"/>
    <n v="93"/>
    <n v="24.72"/>
    <n v="209.1"/>
    <n v="98"/>
    <n v="17.77"/>
    <n v="214"/>
    <n v="96"/>
    <n v="9.6300000000000008"/>
    <x v="54"/>
    <x v="8"/>
    <x v="54"/>
    <x v="0"/>
    <x v="0"/>
  </r>
  <r>
    <s v="DE"/>
    <x v="40"/>
    <s v="area_code_510"/>
    <x v="1"/>
    <x v="1"/>
    <n v="0"/>
    <n v="250.6"/>
    <n v="85"/>
    <n v="42.6"/>
    <n v="187.9"/>
    <n v="50"/>
    <n v="15.97"/>
    <n v="120.3"/>
    <n v="131"/>
    <n v="5.41"/>
    <x v="35"/>
    <x v="1"/>
    <x v="35"/>
    <x v="0"/>
    <x v="0"/>
  </r>
  <r>
    <s v="RI"/>
    <x v="199"/>
    <s v="area_code_415"/>
    <x v="0"/>
    <x v="1"/>
    <n v="0"/>
    <n v="161.5"/>
    <n v="123"/>
    <n v="27.46"/>
    <n v="214.2"/>
    <n v="81"/>
    <n v="18.21"/>
    <n v="315"/>
    <n v="106"/>
    <n v="14.18"/>
    <x v="53"/>
    <x v="1"/>
    <x v="53"/>
    <x v="0"/>
    <x v="0"/>
  </r>
  <r>
    <s v="PA"/>
    <x v="115"/>
    <s v="area_code_408"/>
    <x v="0"/>
    <x v="1"/>
    <n v="0"/>
    <n v="260.10000000000002"/>
    <n v="101"/>
    <n v="44.22"/>
    <n v="256.5"/>
    <n v="68"/>
    <n v="21.8"/>
    <n v="229.1"/>
    <n v="89"/>
    <n v="10.31"/>
    <x v="13"/>
    <x v="5"/>
    <x v="13"/>
    <x v="0"/>
    <x v="1"/>
  </r>
  <r>
    <s v="HI"/>
    <x v="102"/>
    <s v="area_code_415"/>
    <x v="0"/>
    <x v="1"/>
    <n v="0"/>
    <n v="281.3"/>
    <n v="124"/>
    <n v="47.82"/>
    <n v="301.5"/>
    <n v="96"/>
    <n v="25.63"/>
    <n v="202.8"/>
    <n v="109"/>
    <n v="9.1300000000000008"/>
    <x v="6"/>
    <x v="0"/>
    <x v="6"/>
    <x v="1"/>
    <x v="1"/>
  </r>
  <r>
    <s v="MD"/>
    <x v="65"/>
    <s v="area_code_415"/>
    <x v="1"/>
    <x v="0"/>
    <n v="42"/>
    <n v="130.1"/>
    <n v="90"/>
    <n v="22.12"/>
    <n v="167"/>
    <n v="128"/>
    <n v="14.2"/>
    <n v="244.7"/>
    <n v="80"/>
    <n v="11.01"/>
    <x v="109"/>
    <x v="1"/>
    <x v="109"/>
    <x v="3"/>
    <x v="1"/>
  </r>
  <r>
    <s v="VA"/>
    <x v="53"/>
    <s v="area_code_415"/>
    <x v="0"/>
    <x v="1"/>
    <n v="0"/>
    <n v="102"/>
    <n v="118"/>
    <n v="17.34"/>
    <n v="113.3"/>
    <n v="134"/>
    <n v="9.6300000000000008"/>
    <n v="188.6"/>
    <n v="105"/>
    <n v="8.49"/>
    <x v="37"/>
    <x v="0"/>
    <x v="37"/>
    <x v="2"/>
    <x v="0"/>
  </r>
  <r>
    <s v="IN"/>
    <x v="108"/>
    <s v="area_code_415"/>
    <x v="0"/>
    <x v="0"/>
    <n v="33"/>
    <n v="218.7"/>
    <n v="104"/>
    <n v="37.18"/>
    <n v="155"/>
    <n v="144"/>
    <n v="13.18"/>
    <n v="99"/>
    <n v="117"/>
    <n v="4.46"/>
    <x v="47"/>
    <x v="4"/>
    <x v="47"/>
    <x v="0"/>
    <x v="0"/>
  </r>
  <r>
    <s v="OR"/>
    <x v="61"/>
    <s v="area_code_408"/>
    <x v="0"/>
    <x v="0"/>
    <n v="30"/>
    <n v="128.5"/>
    <n v="86"/>
    <n v="21.85"/>
    <n v="188.4"/>
    <n v="91"/>
    <n v="16.010000000000002"/>
    <n v="254.4"/>
    <n v="85"/>
    <n v="11.45"/>
    <x v="36"/>
    <x v="3"/>
    <x v="36"/>
    <x v="0"/>
    <x v="0"/>
  </r>
  <r>
    <s v="AZ"/>
    <x v="48"/>
    <s v="area_code_510"/>
    <x v="0"/>
    <x v="1"/>
    <n v="0"/>
    <n v="128.69999999999999"/>
    <n v="100"/>
    <n v="21.88"/>
    <n v="227.1"/>
    <n v="67"/>
    <n v="19.3"/>
    <n v="178.1"/>
    <n v="135"/>
    <n v="8.01"/>
    <x v="29"/>
    <x v="4"/>
    <x v="29"/>
    <x v="2"/>
    <x v="1"/>
  </r>
  <r>
    <s v="WI"/>
    <x v="106"/>
    <s v="area_code_415"/>
    <x v="0"/>
    <x v="1"/>
    <n v="0"/>
    <n v="172.2"/>
    <n v="92"/>
    <n v="29.27"/>
    <n v="162.6"/>
    <n v="76"/>
    <n v="13.82"/>
    <n v="250.3"/>
    <n v="101"/>
    <n v="11.26"/>
    <x v="6"/>
    <x v="4"/>
    <x v="6"/>
    <x v="0"/>
    <x v="0"/>
  </r>
  <r>
    <s v="MO"/>
    <x v="171"/>
    <s v="area_code_415"/>
    <x v="0"/>
    <x v="1"/>
    <n v="0"/>
    <n v="184.5"/>
    <n v="98"/>
    <n v="31.37"/>
    <n v="200.5"/>
    <n v="93"/>
    <n v="17.04"/>
    <n v="279.2"/>
    <n v="91"/>
    <n v="12.56"/>
    <x v="82"/>
    <x v="0"/>
    <x v="82"/>
    <x v="2"/>
    <x v="0"/>
  </r>
  <r>
    <s v="NV"/>
    <x v="41"/>
    <s v="area_code_510"/>
    <x v="0"/>
    <x v="1"/>
    <n v="0"/>
    <n v="168.6"/>
    <n v="99"/>
    <n v="28.66"/>
    <n v="175.6"/>
    <n v="107"/>
    <n v="14.93"/>
    <n v="243.3"/>
    <n v="92"/>
    <n v="10.95"/>
    <x v="54"/>
    <x v="2"/>
    <x v="54"/>
    <x v="1"/>
    <x v="0"/>
  </r>
  <r>
    <s v="HI"/>
    <x v="100"/>
    <s v="area_code_415"/>
    <x v="0"/>
    <x v="0"/>
    <n v="30"/>
    <n v="174"/>
    <n v="118"/>
    <n v="29.58"/>
    <n v="205.3"/>
    <n v="81"/>
    <n v="17.45"/>
    <n v="218.2"/>
    <n v="90"/>
    <n v="9.82"/>
    <x v="92"/>
    <x v="0"/>
    <x v="92"/>
    <x v="0"/>
    <x v="0"/>
  </r>
  <r>
    <s v="WA"/>
    <x v="0"/>
    <s v="area_code_415"/>
    <x v="0"/>
    <x v="1"/>
    <n v="0"/>
    <n v="230.4"/>
    <n v="65"/>
    <n v="39.17"/>
    <n v="257.39999999999998"/>
    <n v="80"/>
    <n v="21.88"/>
    <n v="107.3"/>
    <n v="88"/>
    <n v="4.83"/>
    <x v="31"/>
    <x v="0"/>
    <x v="31"/>
    <x v="0"/>
    <x v="0"/>
  </r>
  <r>
    <s v="IL"/>
    <x v="119"/>
    <s v="area_code_408"/>
    <x v="0"/>
    <x v="1"/>
    <n v="0"/>
    <n v="198.2"/>
    <n v="73"/>
    <n v="33.69"/>
    <n v="202.8"/>
    <n v="115"/>
    <n v="17.239999999999998"/>
    <n v="146.4"/>
    <n v="73"/>
    <n v="6.59"/>
    <x v="118"/>
    <x v="1"/>
    <x v="118"/>
    <x v="0"/>
    <x v="0"/>
  </r>
  <r>
    <s v="IL"/>
    <x v="14"/>
    <s v="area_code_510"/>
    <x v="0"/>
    <x v="1"/>
    <n v="0"/>
    <n v="186.1"/>
    <n v="96"/>
    <n v="31.64"/>
    <n v="211.6"/>
    <n v="100"/>
    <n v="17.989999999999998"/>
    <n v="230.6"/>
    <n v="100"/>
    <n v="10.38"/>
    <x v="40"/>
    <x v="4"/>
    <x v="40"/>
    <x v="1"/>
    <x v="0"/>
  </r>
  <r>
    <s v="LA"/>
    <x v="59"/>
    <s v="area_code_415"/>
    <x v="0"/>
    <x v="1"/>
    <n v="0"/>
    <n v="148.5"/>
    <n v="105"/>
    <n v="25.25"/>
    <n v="243"/>
    <n v="106"/>
    <n v="20.66"/>
    <n v="255.2"/>
    <n v="114"/>
    <n v="11.48"/>
    <x v="36"/>
    <x v="5"/>
    <x v="36"/>
    <x v="0"/>
    <x v="0"/>
  </r>
  <r>
    <s v="WI"/>
    <x v="15"/>
    <s v="area_code_415"/>
    <x v="0"/>
    <x v="1"/>
    <n v="0"/>
    <n v="157.1"/>
    <n v="109"/>
    <n v="26.71"/>
    <n v="268.8"/>
    <n v="83"/>
    <n v="22.85"/>
    <n v="181.5"/>
    <n v="91"/>
    <n v="8.17"/>
    <x v="13"/>
    <x v="10"/>
    <x v="13"/>
    <x v="1"/>
    <x v="0"/>
  </r>
  <r>
    <s v="TX"/>
    <x v="36"/>
    <s v="area_code_415"/>
    <x v="0"/>
    <x v="1"/>
    <n v="0"/>
    <n v="155"/>
    <n v="110"/>
    <n v="26.35"/>
    <n v="133.4"/>
    <n v="104"/>
    <n v="11.34"/>
    <n v="176.1"/>
    <n v="84"/>
    <n v="7.92"/>
    <x v="99"/>
    <x v="4"/>
    <x v="99"/>
    <x v="4"/>
    <x v="1"/>
  </r>
  <r>
    <s v="MI"/>
    <x v="49"/>
    <s v="area_code_415"/>
    <x v="1"/>
    <x v="0"/>
    <n v="26"/>
    <n v="129.30000000000001"/>
    <n v="123"/>
    <n v="21.98"/>
    <n v="176.5"/>
    <n v="114"/>
    <n v="15"/>
    <n v="154.5"/>
    <n v="102"/>
    <n v="6.95"/>
    <x v="63"/>
    <x v="2"/>
    <x v="63"/>
    <x v="0"/>
    <x v="0"/>
  </r>
  <r>
    <s v="WA"/>
    <x v="1"/>
    <s v="area_code_408"/>
    <x v="0"/>
    <x v="1"/>
    <n v="0"/>
    <n v="208.8"/>
    <n v="120"/>
    <n v="35.5"/>
    <n v="225.3"/>
    <n v="100"/>
    <n v="19.149999999999999"/>
    <n v="221.6"/>
    <n v="130"/>
    <n v="9.9700000000000006"/>
    <x v="22"/>
    <x v="1"/>
    <x v="22"/>
    <x v="1"/>
    <x v="0"/>
  </r>
  <r>
    <s v="ND"/>
    <x v="144"/>
    <s v="area_code_510"/>
    <x v="0"/>
    <x v="1"/>
    <n v="0"/>
    <n v="238"/>
    <n v="82"/>
    <n v="40.46"/>
    <n v="278.5"/>
    <n v="94"/>
    <n v="23.67"/>
    <n v="193.1"/>
    <n v="134"/>
    <n v="8.69"/>
    <x v="23"/>
    <x v="11"/>
    <x v="23"/>
    <x v="1"/>
    <x v="1"/>
  </r>
  <r>
    <s v="NE"/>
    <x v="83"/>
    <s v="area_code_415"/>
    <x v="0"/>
    <x v="1"/>
    <n v="0"/>
    <n v="211.1"/>
    <n v="103"/>
    <n v="35.89"/>
    <n v="206.9"/>
    <n v="108"/>
    <n v="17.59"/>
    <n v="193.9"/>
    <n v="70"/>
    <n v="8.73"/>
    <x v="113"/>
    <x v="4"/>
    <x v="113"/>
    <x v="1"/>
    <x v="0"/>
  </r>
  <r>
    <s v="MS"/>
    <x v="0"/>
    <s v="area_code_510"/>
    <x v="0"/>
    <x v="0"/>
    <n v="30"/>
    <n v="198.9"/>
    <n v="87"/>
    <n v="33.81"/>
    <n v="207"/>
    <n v="90"/>
    <n v="17.600000000000001"/>
    <n v="159.80000000000001"/>
    <n v="76"/>
    <n v="7.19"/>
    <x v="44"/>
    <x v="4"/>
    <x v="44"/>
    <x v="3"/>
    <x v="0"/>
  </r>
  <r>
    <s v="KY"/>
    <x v="5"/>
    <s v="area_code_408"/>
    <x v="0"/>
    <x v="1"/>
    <n v="0"/>
    <n v="212.8"/>
    <n v="79"/>
    <n v="36.18"/>
    <n v="204.1"/>
    <n v="91"/>
    <n v="17.350000000000001"/>
    <n v="156.19999999999999"/>
    <n v="113"/>
    <n v="7.03"/>
    <x v="39"/>
    <x v="5"/>
    <x v="39"/>
    <x v="0"/>
    <x v="0"/>
  </r>
  <r>
    <s v="RI"/>
    <x v="43"/>
    <s v="area_code_510"/>
    <x v="0"/>
    <x v="1"/>
    <n v="0"/>
    <n v="137.4"/>
    <n v="126"/>
    <n v="23.36"/>
    <n v="120"/>
    <n v="94"/>
    <n v="10.199999999999999"/>
    <n v="130.30000000000001"/>
    <n v="64"/>
    <n v="5.86"/>
    <x v="70"/>
    <x v="5"/>
    <x v="70"/>
    <x v="3"/>
    <x v="0"/>
  </r>
  <r>
    <s v="NY"/>
    <x v="37"/>
    <s v="area_code_510"/>
    <x v="0"/>
    <x v="0"/>
    <n v="31"/>
    <n v="191.8"/>
    <n v="75"/>
    <n v="32.61"/>
    <n v="267.8"/>
    <n v="135"/>
    <n v="22.76"/>
    <n v="200.5"/>
    <n v="62"/>
    <n v="9.02"/>
    <x v="75"/>
    <x v="0"/>
    <x v="75"/>
    <x v="2"/>
    <x v="0"/>
  </r>
  <r>
    <s v="TX"/>
    <x v="45"/>
    <s v="area_code_510"/>
    <x v="0"/>
    <x v="1"/>
    <n v="0"/>
    <n v="149"/>
    <n v="92"/>
    <n v="25.33"/>
    <n v="49.2"/>
    <n v="78"/>
    <n v="4.18"/>
    <n v="163.30000000000001"/>
    <n v="93"/>
    <n v="7.35"/>
    <x v="55"/>
    <x v="12"/>
    <x v="55"/>
    <x v="1"/>
    <x v="0"/>
  </r>
  <r>
    <s v="DE"/>
    <x v="69"/>
    <s v="area_code_408"/>
    <x v="0"/>
    <x v="1"/>
    <n v="0"/>
    <n v="117.1"/>
    <n v="118"/>
    <n v="19.91"/>
    <n v="249.6"/>
    <n v="90"/>
    <n v="21.22"/>
    <n v="162.19999999999999"/>
    <n v="84"/>
    <n v="7.3"/>
    <x v="22"/>
    <x v="4"/>
    <x v="22"/>
    <x v="3"/>
    <x v="0"/>
  </r>
  <r>
    <s v="RI"/>
    <x v="100"/>
    <s v="area_code_415"/>
    <x v="0"/>
    <x v="1"/>
    <n v="0"/>
    <n v="112.8"/>
    <n v="133"/>
    <n v="19.18"/>
    <n v="199.4"/>
    <n v="116"/>
    <n v="16.95"/>
    <n v="142.69999999999999"/>
    <n v="105"/>
    <n v="6.42"/>
    <x v="3"/>
    <x v="1"/>
    <x v="3"/>
    <x v="1"/>
    <x v="0"/>
  </r>
  <r>
    <s v="MS"/>
    <x v="124"/>
    <s v="area_code_510"/>
    <x v="0"/>
    <x v="1"/>
    <n v="0"/>
    <n v="175.9"/>
    <n v="105"/>
    <n v="29.9"/>
    <n v="188.3"/>
    <n v="88"/>
    <n v="16.010000000000002"/>
    <n v="188.3"/>
    <n v="98"/>
    <n v="8.4700000000000006"/>
    <x v="34"/>
    <x v="3"/>
    <x v="34"/>
    <x v="0"/>
    <x v="0"/>
  </r>
  <r>
    <s v="NY"/>
    <x v="83"/>
    <s v="area_code_510"/>
    <x v="0"/>
    <x v="1"/>
    <n v="0"/>
    <n v="236.6"/>
    <n v="109"/>
    <n v="40.22"/>
    <n v="169.9"/>
    <n v="107"/>
    <n v="14.44"/>
    <n v="212.3"/>
    <n v="118"/>
    <n v="9.5500000000000007"/>
    <x v="22"/>
    <x v="5"/>
    <x v="22"/>
    <x v="0"/>
    <x v="1"/>
  </r>
  <r>
    <s v="NE"/>
    <x v="16"/>
    <s v="area_code_415"/>
    <x v="0"/>
    <x v="1"/>
    <n v="0"/>
    <n v="169.4"/>
    <n v="102"/>
    <n v="28.8"/>
    <n v="184.9"/>
    <n v="144"/>
    <n v="15.72"/>
    <n v="234.3"/>
    <n v="89"/>
    <n v="10.54"/>
    <x v="145"/>
    <x v="2"/>
    <x v="145"/>
    <x v="0"/>
    <x v="0"/>
  </r>
  <r>
    <s v="WI"/>
    <x v="141"/>
    <s v="area_code_415"/>
    <x v="0"/>
    <x v="1"/>
    <n v="0"/>
    <n v="129.6"/>
    <n v="79"/>
    <n v="22.03"/>
    <n v="246.2"/>
    <n v="99"/>
    <n v="20.93"/>
    <n v="172.1"/>
    <n v="124"/>
    <n v="7.74"/>
    <x v="27"/>
    <x v="11"/>
    <x v="27"/>
    <x v="3"/>
    <x v="0"/>
  </r>
  <r>
    <s v="SD"/>
    <x v="36"/>
    <s v="area_code_510"/>
    <x v="0"/>
    <x v="0"/>
    <n v="20"/>
    <n v="133.30000000000001"/>
    <n v="63"/>
    <n v="22.66"/>
    <n v="184.1"/>
    <n v="123"/>
    <n v="15.65"/>
    <n v="272.89999999999998"/>
    <n v="107"/>
    <n v="12.28"/>
    <x v="88"/>
    <x v="5"/>
    <x v="88"/>
    <x v="0"/>
    <x v="0"/>
  </r>
  <r>
    <s v="VA"/>
    <x v="78"/>
    <s v="area_code_510"/>
    <x v="0"/>
    <x v="1"/>
    <n v="0"/>
    <n v="167.8"/>
    <n v="121"/>
    <n v="28.53"/>
    <n v="212.9"/>
    <n v="123"/>
    <n v="18.100000000000001"/>
    <n v="208.2"/>
    <n v="73"/>
    <n v="9.3699999999999992"/>
    <x v="14"/>
    <x v="0"/>
    <x v="14"/>
    <x v="5"/>
    <x v="0"/>
  </r>
  <r>
    <s v="KS"/>
    <x v="9"/>
    <s v="area_code_415"/>
    <x v="0"/>
    <x v="0"/>
    <n v="32"/>
    <n v="174.6"/>
    <n v="107"/>
    <n v="29.68"/>
    <n v="310.60000000000002"/>
    <n v="115"/>
    <n v="26.4"/>
    <n v="234.7"/>
    <n v="92"/>
    <n v="10.56"/>
    <x v="62"/>
    <x v="4"/>
    <x v="62"/>
    <x v="0"/>
    <x v="0"/>
  </r>
  <r>
    <s v="ND"/>
    <x v="146"/>
    <s v="area_code_415"/>
    <x v="0"/>
    <x v="1"/>
    <n v="0"/>
    <n v="150.30000000000001"/>
    <n v="101"/>
    <n v="25.55"/>
    <n v="255.9"/>
    <n v="112"/>
    <n v="21.75"/>
    <n v="136.69999999999999"/>
    <n v="62"/>
    <n v="6.15"/>
    <x v="60"/>
    <x v="4"/>
    <x v="60"/>
    <x v="2"/>
    <x v="0"/>
  </r>
  <r>
    <s v="CO"/>
    <x v="13"/>
    <s v="area_code_510"/>
    <x v="0"/>
    <x v="0"/>
    <n v="21"/>
    <n v="283.2"/>
    <n v="110"/>
    <n v="48.14"/>
    <n v="239.7"/>
    <n v="108"/>
    <n v="20.37"/>
    <n v="149.5"/>
    <n v="80"/>
    <n v="6.73"/>
    <x v="21"/>
    <x v="8"/>
    <x v="21"/>
    <x v="5"/>
    <x v="0"/>
  </r>
  <r>
    <s v="KY"/>
    <x v="48"/>
    <s v="area_code_408"/>
    <x v="0"/>
    <x v="0"/>
    <n v="20"/>
    <n v="157.80000000000001"/>
    <n v="83"/>
    <n v="26.83"/>
    <n v="161.5"/>
    <n v="56"/>
    <n v="13.73"/>
    <n v="271.5"/>
    <n v="100"/>
    <n v="12.22"/>
    <x v="6"/>
    <x v="5"/>
    <x v="6"/>
    <x v="5"/>
    <x v="1"/>
  </r>
  <r>
    <s v="WA"/>
    <x v="144"/>
    <s v="area_code_408"/>
    <x v="0"/>
    <x v="1"/>
    <n v="0"/>
    <n v="141.19999999999999"/>
    <n v="132"/>
    <n v="24"/>
    <n v="149.1"/>
    <n v="90"/>
    <n v="12.67"/>
    <n v="171.4"/>
    <n v="72"/>
    <n v="7.71"/>
    <x v="99"/>
    <x v="5"/>
    <x v="99"/>
    <x v="2"/>
    <x v="0"/>
  </r>
  <r>
    <s v="SC"/>
    <x v="23"/>
    <s v="area_code_415"/>
    <x v="1"/>
    <x v="1"/>
    <n v="0"/>
    <n v="237.8"/>
    <n v="92"/>
    <n v="40.43"/>
    <n v="208.9"/>
    <n v="119"/>
    <n v="17.760000000000002"/>
    <n v="167.8"/>
    <n v="86"/>
    <n v="7.55"/>
    <x v="95"/>
    <x v="3"/>
    <x v="95"/>
    <x v="2"/>
    <x v="1"/>
  </r>
  <r>
    <s v="RI"/>
    <x v="96"/>
    <s v="area_code_510"/>
    <x v="1"/>
    <x v="1"/>
    <n v="0"/>
    <n v="204"/>
    <n v="84"/>
    <n v="34.68"/>
    <n v="168.5"/>
    <n v="61"/>
    <n v="14.32"/>
    <n v="164"/>
    <n v="102"/>
    <n v="7.38"/>
    <x v="64"/>
    <x v="0"/>
    <x v="64"/>
    <x v="3"/>
    <x v="1"/>
  </r>
  <r>
    <s v="ID"/>
    <x v="37"/>
    <s v="area_code_510"/>
    <x v="0"/>
    <x v="1"/>
    <n v="0"/>
    <n v="221.1"/>
    <n v="106"/>
    <n v="37.590000000000003"/>
    <n v="178.6"/>
    <n v="48"/>
    <n v="15.18"/>
    <n v="202.7"/>
    <n v="90"/>
    <n v="9.1199999999999992"/>
    <x v="33"/>
    <x v="0"/>
    <x v="33"/>
    <x v="0"/>
    <x v="0"/>
  </r>
  <r>
    <s v="ME"/>
    <x v="103"/>
    <s v="area_code_510"/>
    <x v="0"/>
    <x v="1"/>
    <n v="0"/>
    <n v="118"/>
    <n v="133"/>
    <n v="20.059999999999999"/>
    <n v="248.1"/>
    <n v="99"/>
    <n v="21.09"/>
    <n v="214.4"/>
    <n v="122"/>
    <n v="9.65"/>
    <x v="58"/>
    <x v="1"/>
    <x v="58"/>
    <x v="0"/>
    <x v="0"/>
  </r>
  <r>
    <s v="SD"/>
    <x v="41"/>
    <s v="area_code_415"/>
    <x v="0"/>
    <x v="1"/>
    <n v="0"/>
    <n v="163.80000000000001"/>
    <n v="73"/>
    <n v="27.85"/>
    <n v="255.6"/>
    <n v="85"/>
    <n v="21.73"/>
    <n v="192.9"/>
    <n v="95"/>
    <n v="8.68"/>
    <x v="135"/>
    <x v="4"/>
    <x v="135"/>
    <x v="1"/>
    <x v="0"/>
  </r>
  <r>
    <s v="SC"/>
    <x v="113"/>
    <s v="area_code_510"/>
    <x v="0"/>
    <x v="0"/>
    <n v="4"/>
    <n v="141.30000000000001"/>
    <n v="96"/>
    <n v="24.02"/>
    <n v="230.4"/>
    <n v="88"/>
    <n v="19.579999999999998"/>
    <n v="223.7"/>
    <n v="85"/>
    <n v="10.07"/>
    <x v="27"/>
    <x v="0"/>
    <x v="27"/>
    <x v="3"/>
    <x v="0"/>
  </r>
  <r>
    <s v="TN"/>
    <x v="126"/>
    <s v="area_code_415"/>
    <x v="0"/>
    <x v="1"/>
    <n v="0"/>
    <n v="272.5"/>
    <n v="119"/>
    <n v="46.33"/>
    <n v="226.1"/>
    <n v="94"/>
    <n v="19.22"/>
    <n v="159.1"/>
    <n v="94"/>
    <n v="7.16"/>
    <x v="123"/>
    <x v="1"/>
    <x v="123"/>
    <x v="3"/>
    <x v="1"/>
  </r>
  <r>
    <s v="MT"/>
    <x v="116"/>
    <s v="area_code_408"/>
    <x v="0"/>
    <x v="0"/>
    <n v="16"/>
    <n v="118.9"/>
    <n v="112"/>
    <n v="20.21"/>
    <n v="228.3"/>
    <n v="97"/>
    <n v="19.41"/>
    <n v="180.1"/>
    <n v="111"/>
    <n v="8.1"/>
    <x v="45"/>
    <x v="1"/>
    <x v="45"/>
    <x v="2"/>
    <x v="0"/>
  </r>
  <r>
    <s v="WI"/>
    <x v="58"/>
    <s v="area_code_415"/>
    <x v="0"/>
    <x v="1"/>
    <n v="0"/>
    <n v="7.9"/>
    <n v="100"/>
    <n v="1.34"/>
    <n v="136.4"/>
    <n v="83"/>
    <n v="11.59"/>
    <n v="156.6"/>
    <n v="89"/>
    <n v="7.05"/>
    <x v="47"/>
    <x v="8"/>
    <x v="47"/>
    <x v="1"/>
    <x v="0"/>
  </r>
  <r>
    <s v="AK"/>
    <x v="33"/>
    <s v="area_code_408"/>
    <x v="0"/>
    <x v="1"/>
    <n v="0"/>
    <n v="159.5"/>
    <n v="96"/>
    <n v="27.12"/>
    <n v="167.2"/>
    <n v="123"/>
    <n v="14.21"/>
    <n v="138.6"/>
    <n v="106"/>
    <n v="6.24"/>
    <x v="39"/>
    <x v="4"/>
    <x v="39"/>
    <x v="1"/>
    <x v="0"/>
  </r>
  <r>
    <s v="AZ"/>
    <x v="33"/>
    <s v="area_code_408"/>
    <x v="0"/>
    <x v="1"/>
    <n v="0"/>
    <n v="150.19999999999999"/>
    <n v="70"/>
    <n v="25.53"/>
    <n v="185.7"/>
    <n v="98"/>
    <n v="15.78"/>
    <n v="212.5"/>
    <n v="128"/>
    <n v="9.56"/>
    <x v="47"/>
    <x v="5"/>
    <x v="47"/>
    <x v="0"/>
    <x v="0"/>
  </r>
  <r>
    <s v="MT"/>
    <x v="146"/>
    <s v="area_code_415"/>
    <x v="0"/>
    <x v="0"/>
    <n v="30"/>
    <n v="144.5"/>
    <n v="35"/>
    <n v="24.57"/>
    <n v="262.3"/>
    <n v="101"/>
    <n v="22.3"/>
    <n v="226.5"/>
    <n v="82"/>
    <n v="10.19"/>
    <x v="42"/>
    <x v="2"/>
    <x v="42"/>
    <x v="2"/>
    <x v="0"/>
  </r>
  <r>
    <s v="MA"/>
    <x v="40"/>
    <s v="area_code_510"/>
    <x v="0"/>
    <x v="1"/>
    <n v="0"/>
    <n v="220.8"/>
    <n v="77"/>
    <n v="37.54"/>
    <n v="148.5"/>
    <n v="87"/>
    <n v="12.62"/>
    <n v="183.9"/>
    <n v="100"/>
    <n v="8.2799999999999994"/>
    <x v="98"/>
    <x v="0"/>
    <x v="98"/>
    <x v="2"/>
    <x v="0"/>
  </r>
  <r>
    <s v="IN"/>
    <x v="112"/>
    <s v="area_code_510"/>
    <x v="0"/>
    <x v="1"/>
    <n v="0"/>
    <n v="216.3"/>
    <n v="96"/>
    <n v="36.770000000000003"/>
    <n v="266.3"/>
    <n v="77"/>
    <n v="22.64"/>
    <n v="214"/>
    <n v="110"/>
    <n v="9.6300000000000008"/>
    <x v="141"/>
    <x v="0"/>
    <x v="141"/>
    <x v="1"/>
    <x v="0"/>
  </r>
  <r>
    <s v="MD"/>
    <x v="2"/>
    <s v="area_code_510"/>
    <x v="0"/>
    <x v="1"/>
    <n v="0"/>
    <n v="169.5"/>
    <n v="96"/>
    <n v="28.82"/>
    <n v="157.6"/>
    <n v="94"/>
    <n v="13.4"/>
    <n v="98.2"/>
    <n v="70"/>
    <n v="4.42"/>
    <x v="15"/>
    <x v="2"/>
    <x v="15"/>
    <x v="1"/>
    <x v="0"/>
  </r>
  <r>
    <s v="NV"/>
    <x v="98"/>
    <s v="area_code_510"/>
    <x v="0"/>
    <x v="0"/>
    <n v="35"/>
    <n v="256.3"/>
    <n v="119"/>
    <n v="43.57"/>
    <n v="258.10000000000002"/>
    <n v="91"/>
    <n v="21.94"/>
    <n v="215.5"/>
    <n v="130"/>
    <n v="9.6999999999999993"/>
    <x v="50"/>
    <x v="8"/>
    <x v="50"/>
    <x v="0"/>
    <x v="0"/>
  </r>
  <r>
    <s v="CO"/>
    <x v="121"/>
    <s v="area_code_415"/>
    <x v="0"/>
    <x v="1"/>
    <n v="0"/>
    <n v="179.7"/>
    <n v="128"/>
    <n v="30.55"/>
    <n v="299.8"/>
    <n v="92"/>
    <n v="25.48"/>
    <n v="185.3"/>
    <n v="120"/>
    <n v="8.34"/>
    <x v="98"/>
    <x v="0"/>
    <x v="98"/>
    <x v="0"/>
    <x v="0"/>
  </r>
  <r>
    <s v="KS"/>
    <x v="67"/>
    <s v="area_code_415"/>
    <x v="0"/>
    <x v="1"/>
    <n v="0"/>
    <n v="266"/>
    <n v="120"/>
    <n v="45.22"/>
    <n v="130.1"/>
    <n v="84"/>
    <n v="11.06"/>
    <n v="165.8"/>
    <n v="63"/>
    <n v="7.46"/>
    <x v="67"/>
    <x v="3"/>
    <x v="67"/>
    <x v="3"/>
    <x v="0"/>
  </r>
  <r>
    <s v="AR"/>
    <x v="13"/>
    <s v="area_code_415"/>
    <x v="0"/>
    <x v="1"/>
    <n v="0"/>
    <n v="96.7"/>
    <n v="97"/>
    <n v="16.440000000000001"/>
    <n v="193.8"/>
    <n v="95"/>
    <n v="16.47"/>
    <n v="171.7"/>
    <n v="88"/>
    <n v="7.73"/>
    <x v="84"/>
    <x v="0"/>
    <x v="84"/>
    <x v="2"/>
    <x v="0"/>
  </r>
  <r>
    <s v="WY"/>
    <x v="31"/>
    <s v="area_code_408"/>
    <x v="0"/>
    <x v="1"/>
    <n v="0"/>
    <n v="82.7"/>
    <n v="116"/>
    <n v="14.06"/>
    <n v="194.6"/>
    <n v="95"/>
    <n v="16.54"/>
    <n v="159"/>
    <n v="54"/>
    <n v="7.15"/>
    <x v="54"/>
    <x v="6"/>
    <x v="54"/>
    <x v="1"/>
    <x v="0"/>
  </r>
  <r>
    <s v="PA"/>
    <x v="159"/>
    <s v="area_code_415"/>
    <x v="0"/>
    <x v="1"/>
    <n v="0"/>
    <n v="168.2"/>
    <n v="87"/>
    <n v="28.59"/>
    <n v="161.69999999999999"/>
    <n v="92"/>
    <n v="13.74"/>
    <n v="192.4"/>
    <n v="112"/>
    <n v="8.66"/>
    <x v="3"/>
    <x v="0"/>
    <x v="3"/>
    <x v="3"/>
    <x v="0"/>
  </r>
  <r>
    <s v="TX"/>
    <x v="15"/>
    <s v="area_code_408"/>
    <x v="0"/>
    <x v="1"/>
    <n v="0"/>
    <n v="286.39999999999998"/>
    <n v="109"/>
    <n v="48.69"/>
    <n v="178.2"/>
    <n v="67"/>
    <n v="15.15"/>
    <n v="214.2"/>
    <n v="152"/>
    <n v="9.64"/>
    <x v="85"/>
    <x v="17"/>
    <x v="85"/>
    <x v="0"/>
    <x v="1"/>
  </r>
  <r>
    <s v="NY"/>
    <x v="166"/>
    <s v="area_code_408"/>
    <x v="0"/>
    <x v="1"/>
    <n v="0"/>
    <n v="174.3"/>
    <n v="95"/>
    <n v="29.63"/>
    <n v="186.6"/>
    <n v="128"/>
    <n v="15.86"/>
    <n v="258.2"/>
    <n v="105"/>
    <n v="11.62"/>
    <x v="89"/>
    <x v="1"/>
    <x v="89"/>
    <x v="3"/>
    <x v="0"/>
  </r>
  <r>
    <s v="OR"/>
    <x v="111"/>
    <s v="area_code_415"/>
    <x v="1"/>
    <x v="1"/>
    <n v="0"/>
    <n v="190.6"/>
    <n v="100"/>
    <n v="32.4"/>
    <n v="161.69999999999999"/>
    <n v="104"/>
    <n v="13.74"/>
    <n v="189.9"/>
    <n v="136"/>
    <n v="8.5500000000000007"/>
    <x v="14"/>
    <x v="3"/>
    <x v="14"/>
    <x v="0"/>
    <x v="0"/>
  </r>
  <r>
    <s v="NY"/>
    <x v="115"/>
    <s v="area_code_415"/>
    <x v="0"/>
    <x v="1"/>
    <n v="0"/>
    <n v="133.4"/>
    <n v="102"/>
    <n v="22.68"/>
    <n v="204.6"/>
    <n v="71"/>
    <n v="17.39"/>
    <n v="196.9"/>
    <n v="103"/>
    <n v="8.86"/>
    <x v="22"/>
    <x v="2"/>
    <x v="22"/>
    <x v="0"/>
    <x v="0"/>
  </r>
  <r>
    <s v="AR"/>
    <x v="75"/>
    <s v="area_code_510"/>
    <x v="0"/>
    <x v="0"/>
    <n v="27"/>
    <n v="204.6"/>
    <n v="96"/>
    <n v="34.78"/>
    <n v="136"/>
    <n v="93"/>
    <n v="11.56"/>
    <n v="210.5"/>
    <n v="82"/>
    <n v="9.4700000000000006"/>
    <x v="2"/>
    <x v="5"/>
    <x v="2"/>
    <x v="3"/>
    <x v="0"/>
  </r>
  <r>
    <s v="MI"/>
    <x v="147"/>
    <s v="area_code_510"/>
    <x v="0"/>
    <x v="1"/>
    <n v="0"/>
    <n v="242.2"/>
    <n v="88"/>
    <n v="41.17"/>
    <n v="233.2"/>
    <n v="89"/>
    <n v="19.82"/>
    <n v="188.5"/>
    <n v="121"/>
    <n v="8.48"/>
    <x v="46"/>
    <x v="3"/>
    <x v="46"/>
    <x v="3"/>
    <x v="0"/>
  </r>
  <r>
    <s v="OK"/>
    <x v="112"/>
    <s v="area_code_415"/>
    <x v="0"/>
    <x v="0"/>
    <n v="33"/>
    <n v="253.1"/>
    <n v="112"/>
    <n v="43.03"/>
    <n v="210.1"/>
    <n v="94"/>
    <n v="17.86"/>
    <n v="95"/>
    <n v="98"/>
    <n v="4.2699999999999996"/>
    <x v="78"/>
    <x v="4"/>
    <x v="78"/>
    <x v="3"/>
    <x v="0"/>
  </r>
  <r>
    <s v="TX"/>
    <x v="55"/>
    <s v="area_code_415"/>
    <x v="0"/>
    <x v="1"/>
    <n v="0"/>
    <n v="130"/>
    <n v="110"/>
    <n v="22.1"/>
    <n v="185.3"/>
    <n v="88"/>
    <n v="15.75"/>
    <n v="178.7"/>
    <n v="105"/>
    <n v="8.0399999999999991"/>
    <x v="24"/>
    <x v="4"/>
    <x v="24"/>
    <x v="1"/>
    <x v="0"/>
  </r>
  <r>
    <s v="NC"/>
    <x v="121"/>
    <s v="area_code_408"/>
    <x v="0"/>
    <x v="1"/>
    <n v="0"/>
    <n v="105.9"/>
    <n v="151"/>
    <n v="18"/>
    <n v="189.6"/>
    <n v="142"/>
    <n v="16.12"/>
    <n v="170.9"/>
    <n v="67"/>
    <n v="7.69"/>
    <x v="8"/>
    <x v="2"/>
    <x v="8"/>
    <x v="1"/>
    <x v="0"/>
  </r>
  <r>
    <s v="IL"/>
    <x v="169"/>
    <s v="area_code_408"/>
    <x v="0"/>
    <x v="1"/>
    <n v="0"/>
    <n v="183.8"/>
    <n v="111"/>
    <n v="31.25"/>
    <n v="123.5"/>
    <n v="92"/>
    <n v="10.5"/>
    <n v="160.69999999999999"/>
    <n v="105"/>
    <n v="7.23"/>
    <x v="49"/>
    <x v="5"/>
    <x v="49"/>
    <x v="0"/>
    <x v="0"/>
  </r>
  <r>
    <s v="OR"/>
    <x v="73"/>
    <s v="area_code_415"/>
    <x v="0"/>
    <x v="1"/>
    <n v="0"/>
    <n v="196.5"/>
    <n v="82"/>
    <n v="33.409999999999997"/>
    <n v="190"/>
    <n v="89"/>
    <n v="16.149999999999999"/>
    <n v="163.19999999999999"/>
    <n v="99"/>
    <n v="7.34"/>
    <x v="81"/>
    <x v="5"/>
    <x v="81"/>
    <x v="2"/>
    <x v="0"/>
  </r>
  <r>
    <s v="SD"/>
    <x v="137"/>
    <s v="area_code_510"/>
    <x v="0"/>
    <x v="1"/>
    <n v="0"/>
    <n v="184.5"/>
    <n v="81"/>
    <n v="31.37"/>
    <n v="172"/>
    <n v="103"/>
    <n v="14.62"/>
    <n v="183.4"/>
    <n v="96"/>
    <n v="8.25"/>
    <x v="0"/>
    <x v="0"/>
    <x v="0"/>
    <x v="3"/>
    <x v="0"/>
  </r>
  <r>
    <s v="NE"/>
    <x v="32"/>
    <s v="area_code_408"/>
    <x v="0"/>
    <x v="1"/>
    <n v="0"/>
    <n v="261.89999999999998"/>
    <n v="113"/>
    <n v="44.52"/>
    <n v="148.1"/>
    <n v="99"/>
    <n v="12.59"/>
    <n v="145.19999999999999"/>
    <n v="74"/>
    <n v="6.53"/>
    <x v="12"/>
    <x v="4"/>
    <x v="12"/>
    <x v="1"/>
    <x v="0"/>
  </r>
  <r>
    <s v="RI"/>
    <x v="62"/>
    <s v="area_code_510"/>
    <x v="0"/>
    <x v="1"/>
    <n v="0"/>
    <n v="202.4"/>
    <n v="118"/>
    <n v="34.409999999999997"/>
    <n v="260.2"/>
    <n v="67"/>
    <n v="22.12"/>
    <n v="177.4"/>
    <n v="112"/>
    <n v="7.98"/>
    <x v="29"/>
    <x v="1"/>
    <x v="29"/>
    <x v="3"/>
    <x v="0"/>
  </r>
  <r>
    <s v="ID"/>
    <x v="160"/>
    <s v="area_code_415"/>
    <x v="0"/>
    <x v="0"/>
    <n v="22"/>
    <n v="167.7"/>
    <n v="104"/>
    <n v="28.51"/>
    <n v="246.8"/>
    <n v="91"/>
    <n v="20.98"/>
    <n v="203.9"/>
    <n v="117"/>
    <n v="9.18"/>
    <x v="4"/>
    <x v="12"/>
    <x v="4"/>
    <x v="0"/>
    <x v="0"/>
  </r>
  <r>
    <s v="NY"/>
    <x v="130"/>
    <s v="area_code_415"/>
    <x v="0"/>
    <x v="0"/>
    <n v="26"/>
    <n v="189.1"/>
    <n v="112"/>
    <n v="32.15"/>
    <n v="178.2"/>
    <n v="97"/>
    <n v="15.15"/>
    <n v="199.3"/>
    <n v="104"/>
    <n v="8.9700000000000006"/>
    <x v="22"/>
    <x v="4"/>
    <x v="22"/>
    <x v="0"/>
    <x v="0"/>
  </r>
  <r>
    <s v="OK"/>
    <x v="137"/>
    <s v="area_code_415"/>
    <x v="0"/>
    <x v="1"/>
    <n v="0"/>
    <n v="205.2"/>
    <n v="106"/>
    <n v="34.880000000000003"/>
    <n v="99.5"/>
    <n v="122"/>
    <n v="8.4600000000000009"/>
    <n v="189.5"/>
    <n v="75"/>
    <n v="8.5299999999999994"/>
    <x v="83"/>
    <x v="0"/>
    <x v="83"/>
    <x v="0"/>
    <x v="0"/>
  </r>
  <r>
    <s v="SC"/>
    <x v="135"/>
    <s v="area_code_415"/>
    <x v="0"/>
    <x v="0"/>
    <n v="23"/>
    <n v="153.6"/>
    <n v="93"/>
    <n v="26.11"/>
    <n v="216.9"/>
    <n v="88"/>
    <n v="18.440000000000001"/>
    <n v="161.30000000000001"/>
    <n v="91"/>
    <n v="7.26"/>
    <x v="44"/>
    <x v="0"/>
    <x v="44"/>
    <x v="2"/>
    <x v="0"/>
  </r>
  <r>
    <s v="IN"/>
    <x v="115"/>
    <s v="area_code_510"/>
    <x v="0"/>
    <x v="1"/>
    <n v="0"/>
    <n v="154.5"/>
    <n v="129"/>
    <n v="26.27"/>
    <n v="193.6"/>
    <n v="87"/>
    <n v="16.46"/>
    <n v="180.9"/>
    <n v="145"/>
    <n v="8.14"/>
    <x v="83"/>
    <x v="0"/>
    <x v="83"/>
    <x v="2"/>
    <x v="0"/>
  </r>
  <r>
    <s v="NV"/>
    <x v="155"/>
    <s v="area_code_415"/>
    <x v="0"/>
    <x v="1"/>
    <n v="0"/>
    <n v="153.69999999999999"/>
    <n v="109"/>
    <n v="26.13"/>
    <n v="194"/>
    <n v="105"/>
    <n v="16.489999999999998"/>
    <n v="256.10000000000002"/>
    <n v="114"/>
    <n v="11.52"/>
    <x v="71"/>
    <x v="3"/>
    <x v="71"/>
    <x v="0"/>
    <x v="0"/>
  </r>
  <r>
    <s v="IL"/>
    <x v="137"/>
    <s v="area_code_408"/>
    <x v="1"/>
    <x v="0"/>
    <n v="36"/>
    <n v="171.2"/>
    <n v="138"/>
    <n v="29.1"/>
    <n v="185.8"/>
    <n v="102"/>
    <n v="15.79"/>
    <n v="227.6"/>
    <n v="97"/>
    <n v="10.24"/>
    <x v="81"/>
    <x v="0"/>
    <x v="81"/>
    <x v="0"/>
    <x v="0"/>
  </r>
  <r>
    <s v="SD"/>
    <x v="67"/>
    <s v="area_code_510"/>
    <x v="0"/>
    <x v="1"/>
    <n v="0"/>
    <n v="328.1"/>
    <n v="106"/>
    <n v="55.78"/>
    <n v="151.69999999999999"/>
    <n v="89"/>
    <n v="12.89"/>
    <n v="303.5"/>
    <n v="114"/>
    <n v="13.66"/>
    <x v="6"/>
    <x v="0"/>
    <x v="6"/>
    <x v="0"/>
    <x v="1"/>
  </r>
  <r>
    <s v="OK"/>
    <x v="185"/>
    <s v="area_code_415"/>
    <x v="1"/>
    <x v="1"/>
    <n v="0"/>
    <n v="145.9"/>
    <n v="69"/>
    <n v="24.8"/>
    <n v="208.2"/>
    <n v="141"/>
    <n v="17.7"/>
    <n v="180.9"/>
    <n v="106"/>
    <n v="8.14"/>
    <x v="90"/>
    <x v="11"/>
    <x v="90"/>
    <x v="1"/>
    <x v="1"/>
  </r>
  <r>
    <s v="KS"/>
    <x v="20"/>
    <s v="area_code_415"/>
    <x v="0"/>
    <x v="0"/>
    <n v="37"/>
    <n v="201.2"/>
    <n v="76"/>
    <n v="34.200000000000003"/>
    <n v="280.10000000000002"/>
    <n v="122"/>
    <n v="23.81"/>
    <n v="154.19999999999999"/>
    <n v="110"/>
    <n v="6.94"/>
    <x v="23"/>
    <x v="8"/>
    <x v="23"/>
    <x v="0"/>
    <x v="0"/>
  </r>
  <r>
    <s v="IA"/>
    <x v="17"/>
    <s v="area_code_510"/>
    <x v="0"/>
    <x v="1"/>
    <n v="0"/>
    <n v="139.1"/>
    <n v="72"/>
    <n v="23.65"/>
    <n v="246"/>
    <n v="112"/>
    <n v="20.91"/>
    <n v="207.2"/>
    <n v="121"/>
    <n v="9.32"/>
    <x v="37"/>
    <x v="6"/>
    <x v="37"/>
    <x v="5"/>
    <x v="0"/>
  </r>
  <r>
    <s v="NJ"/>
    <x v="81"/>
    <s v="area_code_415"/>
    <x v="0"/>
    <x v="1"/>
    <n v="0"/>
    <n v="118.9"/>
    <n v="128"/>
    <n v="20.21"/>
    <n v="278.3"/>
    <n v="65"/>
    <n v="23.66"/>
    <n v="194.8"/>
    <n v="61"/>
    <n v="8.77"/>
    <x v="32"/>
    <x v="11"/>
    <x v="32"/>
    <x v="2"/>
    <x v="0"/>
  </r>
  <r>
    <s v="NJ"/>
    <x v="52"/>
    <s v="area_code_408"/>
    <x v="0"/>
    <x v="1"/>
    <n v="0"/>
    <n v="217.6"/>
    <n v="87"/>
    <n v="36.99"/>
    <n v="279"/>
    <n v="71"/>
    <n v="23.72"/>
    <n v="250.7"/>
    <n v="65"/>
    <n v="11.28"/>
    <x v="91"/>
    <x v="4"/>
    <x v="91"/>
    <x v="2"/>
    <x v="1"/>
  </r>
  <r>
    <s v="MT"/>
    <x v="37"/>
    <s v="area_code_415"/>
    <x v="0"/>
    <x v="1"/>
    <n v="0"/>
    <n v="145"/>
    <n v="133"/>
    <n v="24.65"/>
    <n v="209.1"/>
    <n v="92"/>
    <n v="17.77"/>
    <n v="328.5"/>
    <n v="112"/>
    <n v="14.78"/>
    <x v="28"/>
    <x v="5"/>
    <x v="28"/>
    <x v="0"/>
    <x v="0"/>
  </r>
  <r>
    <s v="IA"/>
    <x v="40"/>
    <s v="area_code_510"/>
    <x v="0"/>
    <x v="1"/>
    <n v="0"/>
    <n v="203.5"/>
    <n v="89"/>
    <n v="34.6"/>
    <n v="289.60000000000002"/>
    <n v="69"/>
    <n v="24.62"/>
    <n v="212.9"/>
    <n v="71"/>
    <n v="9.58"/>
    <x v="6"/>
    <x v="0"/>
    <x v="6"/>
    <x v="3"/>
    <x v="0"/>
  </r>
  <r>
    <s v="WA"/>
    <x v="19"/>
    <s v="area_code_415"/>
    <x v="0"/>
    <x v="1"/>
    <n v="0"/>
    <n v="240.1"/>
    <n v="115"/>
    <n v="40.82"/>
    <n v="180.4"/>
    <n v="91"/>
    <n v="15.33"/>
    <n v="133.4"/>
    <n v="122"/>
    <n v="6"/>
    <x v="40"/>
    <x v="3"/>
    <x v="40"/>
    <x v="3"/>
    <x v="0"/>
  </r>
  <r>
    <s v="NE"/>
    <x v="112"/>
    <s v="area_code_408"/>
    <x v="0"/>
    <x v="1"/>
    <n v="0"/>
    <n v="83.8"/>
    <n v="121"/>
    <n v="14.25"/>
    <n v="240.2"/>
    <n v="96"/>
    <n v="20.420000000000002"/>
    <n v="158.6"/>
    <n v="108"/>
    <n v="7.14"/>
    <x v="92"/>
    <x v="10"/>
    <x v="92"/>
    <x v="0"/>
    <x v="0"/>
  </r>
  <r>
    <s v="TX"/>
    <x v="27"/>
    <s v="area_code_408"/>
    <x v="0"/>
    <x v="1"/>
    <n v="0"/>
    <n v="269.8"/>
    <n v="106"/>
    <n v="45.87"/>
    <n v="228.8"/>
    <n v="101"/>
    <n v="19.45"/>
    <n v="257.5"/>
    <n v="106"/>
    <n v="11.59"/>
    <x v="3"/>
    <x v="10"/>
    <x v="3"/>
    <x v="0"/>
    <x v="1"/>
  </r>
  <r>
    <s v="MS"/>
    <x v="4"/>
    <s v="area_code_415"/>
    <x v="0"/>
    <x v="0"/>
    <n v="21"/>
    <n v="126.3"/>
    <n v="84"/>
    <n v="21.47"/>
    <n v="209.6"/>
    <n v="102"/>
    <n v="17.82"/>
    <n v="192.5"/>
    <n v="129"/>
    <n v="8.66"/>
    <x v="15"/>
    <x v="5"/>
    <x v="15"/>
    <x v="0"/>
    <x v="0"/>
  </r>
  <r>
    <s v="IA"/>
    <x v="102"/>
    <s v="area_code_510"/>
    <x v="0"/>
    <x v="0"/>
    <n v="15"/>
    <n v="88.1"/>
    <n v="125"/>
    <n v="14.98"/>
    <n v="175.9"/>
    <n v="142"/>
    <n v="14.95"/>
    <n v="269.89999999999998"/>
    <n v="85"/>
    <n v="12.15"/>
    <x v="84"/>
    <x v="8"/>
    <x v="84"/>
    <x v="2"/>
    <x v="0"/>
  </r>
  <r>
    <s v="MT"/>
    <x v="97"/>
    <s v="area_code_415"/>
    <x v="0"/>
    <x v="0"/>
    <n v="26"/>
    <n v="236.8"/>
    <n v="61"/>
    <n v="40.26"/>
    <n v="263.39999999999998"/>
    <n v="97"/>
    <n v="22.39"/>
    <n v="181.1"/>
    <n v="91"/>
    <n v="8.15"/>
    <x v="7"/>
    <x v="10"/>
    <x v="7"/>
    <x v="0"/>
    <x v="0"/>
  </r>
  <r>
    <s v="GA"/>
    <x v="32"/>
    <s v="area_code_408"/>
    <x v="0"/>
    <x v="1"/>
    <n v="0"/>
    <n v="124.1"/>
    <n v="117"/>
    <n v="21.1"/>
    <n v="192.8"/>
    <n v="108"/>
    <n v="16.39"/>
    <n v="162.9"/>
    <n v="84"/>
    <n v="7.33"/>
    <x v="69"/>
    <x v="1"/>
    <x v="69"/>
    <x v="3"/>
    <x v="0"/>
  </r>
  <r>
    <s v="MT"/>
    <x v="62"/>
    <s v="area_code_510"/>
    <x v="1"/>
    <x v="0"/>
    <n v="30"/>
    <n v="184.2"/>
    <n v="132"/>
    <n v="31.31"/>
    <n v="167.5"/>
    <n v="109"/>
    <n v="14.24"/>
    <n v="212.8"/>
    <n v="114"/>
    <n v="9.58"/>
    <x v="13"/>
    <x v="11"/>
    <x v="13"/>
    <x v="1"/>
    <x v="0"/>
  </r>
  <r>
    <s v="ND"/>
    <x v="80"/>
    <s v="area_code_415"/>
    <x v="0"/>
    <x v="1"/>
    <n v="0"/>
    <n v="222.7"/>
    <n v="133"/>
    <n v="37.86"/>
    <n v="277"/>
    <n v="89"/>
    <n v="23.55"/>
    <n v="101.8"/>
    <n v="94"/>
    <n v="4.58"/>
    <x v="109"/>
    <x v="4"/>
    <x v="109"/>
    <x v="4"/>
    <x v="0"/>
  </r>
  <r>
    <s v="VT"/>
    <x v="64"/>
    <s v="area_code_415"/>
    <x v="0"/>
    <x v="1"/>
    <n v="0"/>
    <n v="149.19999999999999"/>
    <n v="98"/>
    <n v="25.36"/>
    <n v="193.6"/>
    <n v="88"/>
    <n v="16.46"/>
    <n v="248.9"/>
    <n v="119"/>
    <n v="11.2"/>
    <x v="22"/>
    <x v="1"/>
    <x v="22"/>
    <x v="0"/>
    <x v="0"/>
  </r>
  <r>
    <s v="SD"/>
    <x v="78"/>
    <s v="area_code_510"/>
    <x v="0"/>
    <x v="1"/>
    <n v="0"/>
    <n v="206.5"/>
    <n v="125"/>
    <n v="35.11"/>
    <n v="180.2"/>
    <n v="113"/>
    <n v="15.32"/>
    <n v="220.6"/>
    <n v="95"/>
    <n v="9.93"/>
    <x v="1"/>
    <x v="4"/>
    <x v="1"/>
    <x v="3"/>
    <x v="0"/>
  </r>
  <r>
    <s v="OH"/>
    <x v="180"/>
    <s v="area_code_510"/>
    <x v="0"/>
    <x v="0"/>
    <n v="27"/>
    <n v="159.69999999999999"/>
    <n v="102"/>
    <n v="27.15"/>
    <n v="168.8"/>
    <n v="113"/>
    <n v="14.35"/>
    <n v="244.1"/>
    <n v="127"/>
    <n v="10.98"/>
    <x v="63"/>
    <x v="6"/>
    <x v="63"/>
    <x v="3"/>
    <x v="0"/>
  </r>
  <r>
    <s v="OH"/>
    <x v="43"/>
    <s v="area_code_415"/>
    <x v="0"/>
    <x v="0"/>
    <n v="27"/>
    <n v="204.7"/>
    <n v="118"/>
    <n v="34.799999999999997"/>
    <n v="209.4"/>
    <n v="91"/>
    <n v="17.8"/>
    <n v="212.9"/>
    <n v="67"/>
    <n v="9.58"/>
    <x v="99"/>
    <x v="5"/>
    <x v="99"/>
    <x v="2"/>
    <x v="0"/>
  </r>
  <r>
    <s v="MT"/>
    <x v="4"/>
    <s v="area_code_408"/>
    <x v="0"/>
    <x v="1"/>
    <n v="0"/>
    <n v="213.2"/>
    <n v="79"/>
    <n v="36.24"/>
    <n v="120.7"/>
    <n v="116"/>
    <n v="10.26"/>
    <n v="244.4"/>
    <n v="102"/>
    <n v="11"/>
    <x v="4"/>
    <x v="4"/>
    <x v="4"/>
    <x v="0"/>
    <x v="0"/>
  </r>
  <r>
    <s v="IL"/>
    <x v="132"/>
    <s v="area_code_415"/>
    <x v="1"/>
    <x v="1"/>
    <n v="0"/>
    <n v="269.60000000000002"/>
    <n v="121"/>
    <n v="45.83"/>
    <n v="171.7"/>
    <n v="91"/>
    <n v="14.59"/>
    <n v="219"/>
    <n v="98"/>
    <n v="9.86"/>
    <x v="45"/>
    <x v="3"/>
    <x v="45"/>
    <x v="0"/>
    <x v="0"/>
  </r>
  <r>
    <s v="NV"/>
    <x v="200"/>
    <s v="area_code_415"/>
    <x v="0"/>
    <x v="1"/>
    <n v="0"/>
    <n v="116.7"/>
    <n v="92"/>
    <n v="19.84"/>
    <n v="213.8"/>
    <n v="112"/>
    <n v="18.170000000000002"/>
    <n v="214.3"/>
    <n v="112"/>
    <n v="9.64"/>
    <x v="84"/>
    <x v="3"/>
    <x v="84"/>
    <x v="2"/>
    <x v="0"/>
  </r>
  <r>
    <s v="NH"/>
    <x v="53"/>
    <s v="area_code_408"/>
    <x v="0"/>
    <x v="1"/>
    <n v="0"/>
    <n v="140.19999999999999"/>
    <n v="97"/>
    <n v="23.83"/>
    <n v="213.9"/>
    <n v="102"/>
    <n v="18.18"/>
    <n v="120"/>
    <n v="126"/>
    <n v="5.4"/>
    <x v="5"/>
    <x v="5"/>
    <x v="5"/>
    <x v="0"/>
    <x v="0"/>
  </r>
  <r>
    <s v="VT"/>
    <x v="116"/>
    <s v="area_code_415"/>
    <x v="0"/>
    <x v="1"/>
    <n v="0"/>
    <n v="136.19999999999999"/>
    <n v="92"/>
    <n v="23.15"/>
    <n v="220.9"/>
    <n v="110"/>
    <n v="18.78"/>
    <n v="196.9"/>
    <n v="116"/>
    <n v="8.86"/>
    <x v="64"/>
    <x v="2"/>
    <x v="64"/>
    <x v="3"/>
    <x v="0"/>
  </r>
  <r>
    <s v="NY"/>
    <x v="183"/>
    <s v="area_code_415"/>
    <x v="0"/>
    <x v="0"/>
    <n v="16"/>
    <n v="88.5"/>
    <n v="87"/>
    <n v="15.05"/>
    <n v="178.8"/>
    <n v="108"/>
    <n v="15.2"/>
    <n v="228.7"/>
    <n v="96"/>
    <n v="10.29"/>
    <x v="73"/>
    <x v="0"/>
    <x v="73"/>
    <x v="2"/>
    <x v="0"/>
  </r>
  <r>
    <s v="CT"/>
    <x v="35"/>
    <s v="area_code_415"/>
    <x v="0"/>
    <x v="1"/>
    <n v="0"/>
    <n v="215.3"/>
    <n v="58"/>
    <n v="36.6"/>
    <n v="242.4"/>
    <n v="91"/>
    <n v="20.6"/>
    <n v="279.8"/>
    <n v="105"/>
    <n v="12.59"/>
    <x v="47"/>
    <x v="6"/>
    <x v="47"/>
    <x v="1"/>
    <x v="0"/>
  </r>
  <r>
    <s v="KS"/>
    <x v="60"/>
    <s v="area_code_408"/>
    <x v="0"/>
    <x v="1"/>
    <n v="0"/>
    <n v="269.2"/>
    <n v="104"/>
    <n v="45.76"/>
    <n v="193.8"/>
    <n v="144"/>
    <n v="16.47"/>
    <n v="257.60000000000002"/>
    <n v="61"/>
    <n v="11.59"/>
    <x v="56"/>
    <x v="5"/>
    <x v="56"/>
    <x v="3"/>
    <x v="1"/>
  </r>
  <r>
    <s v="MI"/>
    <x v="76"/>
    <s v="area_code_510"/>
    <x v="0"/>
    <x v="0"/>
    <n v="25"/>
    <n v="203.8"/>
    <n v="118"/>
    <n v="34.65"/>
    <n v="267.10000000000002"/>
    <n v="48"/>
    <n v="22.7"/>
    <n v="225.1"/>
    <n v="105"/>
    <n v="10.130000000000001"/>
    <x v="48"/>
    <x v="1"/>
    <x v="48"/>
    <x v="1"/>
    <x v="0"/>
  </r>
  <r>
    <s v="SD"/>
    <x v="41"/>
    <s v="area_code_510"/>
    <x v="0"/>
    <x v="0"/>
    <n v="34"/>
    <n v="268.39999999999998"/>
    <n v="112"/>
    <n v="45.63"/>
    <n v="222.2"/>
    <n v="108"/>
    <n v="18.89"/>
    <n v="117.6"/>
    <n v="102"/>
    <n v="5.29"/>
    <x v="19"/>
    <x v="0"/>
    <x v="19"/>
    <x v="1"/>
    <x v="0"/>
  </r>
  <r>
    <s v="MD"/>
    <x v="53"/>
    <s v="area_code_415"/>
    <x v="0"/>
    <x v="1"/>
    <n v="0"/>
    <n v="114.4"/>
    <n v="122"/>
    <n v="19.45"/>
    <n v="127.7"/>
    <n v="154"/>
    <n v="10.85"/>
    <n v="253.1"/>
    <n v="109"/>
    <n v="11.39"/>
    <x v="3"/>
    <x v="1"/>
    <x v="3"/>
    <x v="2"/>
    <x v="0"/>
  </r>
  <r>
    <s v="VA"/>
    <x v="93"/>
    <s v="area_code_415"/>
    <x v="0"/>
    <x v="1"/>
    <n v="0"/>
    <n v="138.9"/>
    <n v="65"/>
    <n v="23.61"/>
    <n v="208.9"/>
    <n v="109"/>
    <n v="17.760000000000002"/>
    <n v="232.4"/>
    <n v="82"/>
    <n v="10.46"/>
    <x v="29"/>
    <x v="0"/>
    <x v="29"/>
    <x v="2"/>
    <x v="0"/>
  </r>
  <r>
    <s v="NJ"/>
    <x v="48"/>
    <s v="area_code_415"/>
    <x v="0"/>
    <x v="1"/>
    <n v="0"/>
    <n v="186"/>
    <n v="55"/>
    <n v="31.62"/>
    <n v="237.4"/>
    <n v="105"/>
    <n v="20.18"/>
    <n v="148.1"/>
    <n v="83"/>
    <n v="6.66"/>
    <x v="1"/>
    <x v="3"/>
    <x v="1"/>
    <x v="0"/>
    <x v="0"/>
  </r>
  <r>
    <s v="TN"/>
    <x v="4"/>
    <s v="area_code_510"/>
    <x v="0"/>
    <x v="0"/>
    <n v="26"/>
    <n v="170.4"/>
    <n v="91"/>
    <n v="28.97"/>
    <n v="254.5"/>
    <n v="90"/>
    <n v="21.63"/>
    <n v="219.6"/>
    <n v="122"/>
    <n v="9.8800000000000008"/>
    <x v="127"/>
    <x v="1"/>
    <x v="127"/>
    <x v="1"/>
    <x v="0"/>
  </r>
  <r>
    <s v="DC"/>
    <x v="67"/>
    <s v="area_code_408"/>
    <x v="0"/>
    <x v="1"/>
    <n v="0"/>
    <n v="164.5"/>
    <n v="95"/>
    <n v="27.97"/>
    <n v="230.9"/>
    <n v="87"/>
    <n v="19.63"/>
    <n v="149.9"/>
    <n v="91"/>
    <n v="6.75"/>
    <x v="79"/>
    <x v="0"/>
    <x v="79"/>
    <x v="4"/>
    <x v="0"/>
  </r>
  <r>
    <s v="DC"/>
    <x v="4"/>
    <s v="area_code_408"/>
    <x v="0"/>
    <x v="1"/>
    <n v="0"/>
    <n v="168.6"/>
    <n v="121"/>
    <n v="28.66"/>
    <n v="168.6"/>
    <n v="94"/>
    <n v="14.33"/>
    <n v="95.3"/>
    <n v="59"/>
    <n v="4.29"/>
    <x v="10"/>
    <x v="4"/>
    <x v="10"/>
    <x v="0"/>
    <x v="0"/>
  </r>
  <r>
    <s v="OR"/>
    <x v="101"/>
    <s v="area_code_408"/>
    <x v="0"/>
    <x v="1"/>
    <n v="0"/>
    <n v="261.2"/>
    <n v="119"/>
    <n v="44.4"/>
    <n v="250.8"/>
    <n v="105"/>
    <n v="21.32"/>
    <n v="176"/>
    <n v="112"/>
    <n v="7.92"/>
    <x v="52"/>
    <x v="5"/>
    <x v="52"/>
    <x v="1"/>
    <x v="1"/>
  </r>
  <r>
    <s v="RI"/>
    <x v="3"/>
    <s v="area_code_415"/>
    <x v="0"/>
    <x v="1"/>
    <n v="0"/>
    <n v="190.5"/>
    <n v="91"/>
    <n v="32.39"/>
    <n v="178.4"/>
    <n v="75"/>
    <n v="15.16"/>
    <n v="162.4"/>
    <n v="113"/>
    <n v="7.31"/>
    <x v="67"/>
    <x v="1"/>
    <x v="67"/>
    <x v="0"/>
    <x v="0"/>
  </r>
  <r>
    <s v="AK"/>
    <x v="19"/>
    <s v="area_code_510"/>
    <x v="0"/>
    <x v="1"/>
    <n v="0"/>
    <n v="181.1"/>
    <n v="121"/>
    <n v="30.79"/>
    <n v="314.39999999999998"/>
    <n v="109"/>
    <n v="26.72"/>
    <n v="246.7"/>
    <n v="81"/>
    <n v="11.1"/>
    <x v="134"/>
    <x v="6"/>
    <x v="134"/>
    <x v="2"/>
    <x v="0"/>
  </r>
  <r>
    <s v="WI"/>
    <x v="52"/>
    <s v="area_code_408"/>
    <x v="0"/>
    <x v="1"/>
    <n v="0"/>
    <n v="177.1"/>
    <n v="131"/>
    <n v="30.11"/>
    <n v="114.7"/>
    <n v="122"/>
    <n v="9.75"/>
    <n v="153.6"/>
    <n v="88"/>
    <n v="6.91"/>
    <x v="94"/>
    <x v="3"/>
    <x v="94"/>
    <x v="3"/>
    <x v="0"/>
  </r>
  <r>
    <s v="IN"/>
    <x v="141"/>
    <s v="area_code_415"/>
    <x v="0"/>
    <x v="1"/>
    <n v="0"/>
    <n v="160.5"/>
    <n v="114"/>
    <n v="27.29"/>
    <n v="240.5"/>
    <n v="103"/>
    <n v="20.440000000000001"/>
    <n v="233.5"/>
    <n v="121"/>
    <n v="10.51"/>
    <x v="61"/>
    <x v="4"/>
    <x v="61"/>
    <x v="0"/>
    <x v="0"/>
  </r>
  <r>
    <s v="MI"/>
    <x v="75"/>
    <s v="area_code_408"/>
    <x v="0"/>
    <x v="1"/>
    <n v="0"/>
    <n v="134.69999999999999"/>
    <n v="116"/>
    <n v="22.9"/>
    <n v="295.3"/>
    <n v="98"/>
    <n v="25.1"/>
    <n v="195.5"/>
    <n v="121"/>
    <n v="8.8000000000000007"/>
    <x v="2"/>
    <x v="1"/>
    <x v="2"/>
    <x v="2"/>
    <x v="0"/>
  </r>
  <r>
    <s v="ID"/>
    <x v="15"/>
    <s v="area_code_510"/>
    <x v="0"/>
    <x v="0"/>
    <n v="28"/>
    <n v="198.2"/>
    <n v="107"/>
    <n v="33.69"/>
    <n v="139.1"/>
    <n v="123"/>
    <n v="11.82"/>
    <n v="199.1"/>
    <n v="139"/>
    <n v="8.9600000000000009"/>
    <x v="82"/>
    <x v="8"/>
    <x v="82"/>
    <x v="2"/>
    <x v="0"/>
  </r>
  <r>
    <s v="NH"/>
    <x v="11"/>
    <s v="area_code_408"/>
    <x v="1"/>
    <x v="1"/>
    <n v="0"/>
    <n v="228.9"/>
    <n v="134"/>
    <n v="38.909999999999997"/>
    <n v="255.7"/>
    <n v="71"/>
    <n v="21.73"/>
    <n v="208"/>
    <n v="120"/>
    <n v="9.36"/>
    <x v="3"/>
    <x v="5"/>
    <x v="3"/>
    <x v="4"/>
    <x v="1"/>
  </r>
  <r>
    <s v="MN"/>
    <x v="79"/>
    <s v="area_code_408"/>
    <x v="0"/>
    <x v="1"/>
    <n v="0"/>
    <n v="241.7"/>
    <n v="137"/>
    <n v="41.09"/>
    <n v="135.80000000000001"/>
    <n v="100"/>
    <n v="11.54"/>
    <n v="277.60000000000002"/>
    <n v="123"/>
    <n v="12.49"/>
    <x v="67"/>
    <x v="0"/>
    <x v="67"/>
    <x v="1"/>
    <x v="0"/>
  </r>
  <r>
    <s v="AZ"/>
    <x v="108"/>
    <s v="area_code_415"/>
    <x v="0"/>
    <x v="1"/>
    <n v="0"/>
    <n v="131.1"/>
    <n v="108"/>
    <n v="22.29"/>
    <n v="176.2"/>
    <n v="81"/>
    <n v="14.98"/>
    <n v="89.7"/>
    <n v="81"/>
    <n v="4.04"/>
    <x v="146"/>
    <x v="4"/>
    <x v="146"/>
    <x v="0"/>
    <x v="0"/>
  </r>
  <r>
    <s v="MN"/>
    <x v="66"/>
    <s v="area_code_415"/>
    <x v="0"/>
    <x v="1"/>
    <n v="0"/>
    <n v="234.1"/>
    <n v="101"/>
    <n v="39.799999999999997"/>
    <n v="200.2"/>
    <n v="121"/>
    <n v="17.02"/>
    <n v="237.4"/>
    <n v="89"/>
    <n v="10.68"/>
    <x v="67"/>
    <x v="6"/>
    <x v="67"/>
    <x v="2"/>
    <x v="0"/>
  </r>
  <r>
    <s v="MO"/>
    <x v="143"/>
    <s v="area_code_415"/>
    <x v="0"/>
    <x v="1"/>
    <n v="0"/>
    <n v="200.1"/>
    <n v="72"/>
    <n v="34.020000000000003"/>
    <n v="300.89999999999998"/>
    <n v="120"/>
    <n v="25.58"/>
    <n v="236"/>
    <n v="68"/>
    <n v="10.62"/>
    <x v="78"/>
    <x v="1"/>
    <x v="78"/>
    <x v="1"/>
    <x v="0"/>
  </r>
  <r>
    <s v="AL"/>
    <x v="55"/>
    <s v="area_code_408"/>
    <x v="0"/>
    <x v="1"/>
    <n v="0"/>
    <n v="154"/>
    <n v="107"/>
    <n v="26.18"/>
    <n v="94.4"/>
    <n v="114"/>
    <n v="8.02"/>
    <n v="287.60000000000002"/>
    <n v="95"/>
    <n v="12.94"/>
    <x v="3"/>
    <x v="2"/>
    <x v="3"/>
    <x v="0"/>
    <x v="0"/>
  </r>
  <r>
    <s v="PA"/>
    <x v="8"/>
    <s v="area_code_415"/>
    <x v="0"/>
    <x v="0"/>
    <n v="23"/>
    <n v="224.2"/>
    <n v="106"/>
    <n v="38.11"/>
    <n v="189.6"/>
    <n v="100"/>
    <n v="16.12"/>
    <n v="222.8"/>
    <n v="75"/>
    <n v="10.029999999999999"/>
    <x v="52"/>
    <x v="4"/>
    <x v="52"/>
    <x v="1"/>
    <x v="0"/>
  </r>
  <r>
    <s v="AK"/>
    <x v="36"/>
    <s v="area_code_510"/>
    <x v="0"/>
    <x v="1"/>
    <n v="0"/>
    <n v="148.30000000000001"/>
    <n v="83"/>
    <n v="25.21"/>
    <n v="181.6"/>
    <n v="79"/>
    <n v="15.44"/>
    <n v="155.6"/>
    <n v="104"/>
    <n v="7"/>
    <x v="24"/>
    <x v="3"/>
    <x v="24"/>
    <x v="3"/>
    <x v="0"/>
  </r>
  <r>
    <s v="MS"/>
    <x v="27"/>
    <s v="area_code_415"/>
    <x v="0"/>
    <x v="0"/>
    <n v="24"/>
    <n v="174.6"/>
    <n v="76"/>
    <n v="29.68"/>
    <n v="176.6"/>
    <n v="114"/>
    <n v="15.01"/>
    <n v="214.4"/>
    <n v="91"/>
    <n v="9.65"/>
    <x v="82"/>
    <x v="1"/>
    <x v="82"/>
    <x v="2"/>
    <x v="0"/>
  </r>
  <r>
    <s v="IA"/>
    <x v="3"/>
    <s v="area_code_415"/>
    <x v="0"/>
    <x v="1"/>
    <n v="0"/>
    <n v="138.5"/>
    <n v="110"/>
    <n v="23.55"/>
    <n v="153.19999999999999"/>
    <n v="86"/>
    <n v="13.02"/>
    <n v="215.6"/>
    <n v="103"/>
    <n v="9.6999999999999993"/>
    <x v="22"/>
    <x v="2"/>
    <x v="22"/>
    <x v="0"/>
    <x v="0"/>
  </r>
  <r>
    <s v="WY"/>
    <x v="117"/>
    <s v="area_code_408"/>
    <x v="0"/>
    <x v="1"/>
    <n v="0"/>
    <n v="109"/>
    <n v="69"/>
    <n v="18.53"/>
    <n v="265.8"/>
    <n v="98"/>
    <n v="22.59"/>
    <n v="228.3"/>
    <n v="80"/>
    <n v="10.27"/>
    <x v="44"/>
    <x v="5"/>
    <x v="44"/>
    <x v="0"/>
    <x v="0"/>
  </r>
  <r>
    <s v="NE"/>
    <x v="102"/>
    <s v="area_code_408"/>
    <x v="0"/>
    <x v="1"/>
    <n v="0"/>
    <n v="162.30000000000001"/>
    <n v="99"/>
    <n v="27.59"/>
    <n v="212.5"/>
    <n v="95"/>
    <n v="18.059999999999999"/>
    <n v="214.7"/>
    <n v="114"/>
    <n v="9.66"/>
    <x v="22"/>
    <x v="10"/>
    <x v="22"/>
    <x v="4"/>
    <x v="0"/>
  </r>
  <r>
    <s v="ND"/>
    <x v="119"/>
    <s v="area_code_415"/>
    <x v="0"/>
    <x v="1"/>
    <n v="0"/>
    <n v="210.8"/>
    <n v="84"/>
    <n v="35.840000000000003"/>
    <n v="189.6"/>
    <n v="98"/>
    <n v="16.12"/>
    <n v="157.6"/>
    <n v="99"/>
    <n v="7.09"/>
    <x v="123"/>
    <x v="0"/>
    <x v="123"/>
    <x v="2"/>
    <x v="0"/>
  </r>
  <r>
    <s v="CT"/>
    <x v="107"/>
    <s v="area_code_415"/>
    <x v="0"/>
    <x v="1"/>
    <n v="0"/>
    <n v="142.4"/>
    <n v="107"/>
    <n v="24.21"/>
    <n v="318.7"/>
    <n v="78"/>
    <n v="27.09"/>
    <n v="224.1"/>
    <n v="108"/>
    <n v="10.08"/>
    <x v="22"/>
    <x v="2"/>
    <x v="22"/>
    <x v="0"/>
    <x v="0"/>
  </r>
  <r>
    <s v="CT"/>
    <x v="111"/>
    <s v="area_code_510"/>
    <x v="0"/>
    <x v="1"/>
    <n v="0"/>
    <n v="182.5"/>
    <n v="65"/>
    <n v="31.03"/>
    <n v="232.1"/>
    <n v="96"/>
    <n v="19.73"/>
    <n v="149.19999999999999"/>
    <n v="82"/>
    <n v="6.71"/>
    <x v="4"/>
    <x v="5"/>
    <x v="4"/>
    <x v="2"/>
    <x v="0"/>
  </r>
  <r>
    <s v="ND"/>
    <x v="90"/>
    <s v="area_code_408"/>
    <x v="0"/>
    <x v="1"/>
    <n v="0"/>
    <n v="219.6"/>
    <n v="97"/>
    <n v="37.33"/>
    <n v="141.1"/>
    <n v="144"/>
    <n v="11.99"/>
    <n v="205.7"/>
    <n v="101"/>
    <n v="9.26"/>
    <x v="81"/>
    <x v="4"/>
    <x v="81"/>
    <x v="2"/>
    <x v="0"/>
  </r>
  <r>
    <s v="WA"/>
    <x v="96"/>
    <s v="area_code_408"/>
    <x v="0"/>
    <x v="1"/>
    <n v="0"/>
    <n v="193.6"/>
    <n v="66"/>
    <n v="32.909999999999997"/>
    <n v="238.2"/>
    <n v="82"/>
    <n v="20.25"/>
    <n v="176.4"/>
    <n v="107"/>
    <n v="7.94"/>
    <x v="89"/>
    <x v="0"/>
    <x v="89"/>
    <x v="1"/>
    <x v="0"/>
  </r>
  <r>
    <s v="KS"/>
    <x v="60"/>
    <s v="area_code_510"/>
    <x v="0"/>
    <x v="0"/>
    <n v="28"/>
    <n v="233.2"/>
    <n v="88"/>
    <n v="39.64"/>
    <n v="113.3"/>
    <n v="102"/>
    <n v="9.6300000000000008"/>
    <n v="118"/>
    <n v="71"/>
    <n v="5.31"/>
    <x v="137"/>
    <x v="4"/>
    <x v="137"/>
    <x v="1"/>
    <x v="0"/>
  </r>
  <r>
    <s v="CO"/>
    <x v="8"/>
    <s v="area_code_510"/>
    <x v="0"/>
    <x v="1"/>
    <n v="0"/>
    <n v="158.80000000000001"/>
    <n v="53"/>
    <n v="27"/>
    <n v="188.5"/>
    <n v="132"/>
    <n v="16.02"/>
    <n v="189.3"/>
    <n v="87"/>
    <n v="8.52"/>
    <x v="52"/>
    <x v="4"/>
    <x v="52"/>
    <x v="2"/>
    <x v="0"/>
  </r>
  <r>
    <s v="MO"/>
    <x v="13"/>
    <s v="area_code_415"/>
    <x v="0"/>
    <x v="1"/>
    <n v="0"/>
    <n v="126.1"/>
    <n v="112"/>
    <n v="21.44"/>
    <n v="274.7"/>
    <n v="126"/>
    <n v="23.35"/>
    <n v="184.4"/>
    <n v="95"/>
    <n v="8.3000000000000007"/>
    <x v="52"/>
    <x v="4"/>
    <x v="52"/>
    <x v="0"/>
    <x v="0"/>
  </r>
  <r>
    <s v="MA"/>
    <x v="144"/>
    <s v="area_code_510"/>
    <x v="0"/>
    <x v="1"/>
    <n v="0"/>
    <n v="290.39999999999998"/>
    <n v="108"/>
    <n v="49.37"/>
    <n v="253.9"/>
    <n v="92"/>
    <n v="21.58"/>
    <n v="263.3"/>
    <n v="126"/>
    <n v="11.85"/>
    <x v="3"/>
    <x v="1"/>
    <x v="3"/>
    <x v="3"/>
    <x v="1"/>
  </r>
  <r>
    <s v="NY"/>
    <x v="126"/>
    <s v="area_code_408"/>
    <x v="0"/>
    <x v="0"/>
    <n v="30"/>
    <n v="60.6"/>
    <n v="113"/>
    <n v="10.3"/>
    <n v="165.9"/>
    <n v="96"/>
    <n v="14.1"/>
    <n v="132.80000000000001"/>
    <n v="99"/>
    <n v="5.98"/>
    <x v="64"/>
    <x v="2"/>
    <x v="64"/>
    <x v="1"/>
    <x v="0"/>
  </r>
  <r>
    <s v="AK"/>
    <x v="77"/>
    <s v="area_code_415"/>
    <x v="0"/>
    <x v="1"/>
    <n v="0"/>
    <n v="148.4"/>
    <n v="95"/>
    <n v="25.23"/>
    <n v="193.8"/>
    <n v="98"/>
    <n v="16.47"/>
    <n v="206"/>
    <n v="106"/>
    <n v="9.27"/>
    <x v="72"/>
    <x v="3"/>
    <x v="72"/>
    <x v="1"/>
    <x v="0"/>
  </r>
  <r>
    <s v="WI"/>
    <x v="18"/>
    <s v="area_code_415"/>
    <x v="0"/>
    <x v="1"/>
    <n v="0"/>
    <n v="246.5"/>
    <n v="108"/>
    <n v="41.91"/>
    <n v="216.3"/>
    <n v="89"/>
    <n v="18.39"/>
    <n v="179.6"/>
    <n v="99"/>
    <n v="8.08"/>
    <x v="8"/>
    <x v="0"/>
    <x v="8"/>
    <x v="2"/>
    <x v="0"/>
  </r>
  <r>
    <s v="NH"/>
    <x v="9"/>
    <s v="area_code_408"/>
    <x v="0"/>
    <x v="1"/>
    <n v="0"/>
    <n v="298.10000000000002"/>
    <n v="112"/>
    <n v="50.68"/>
    <n v="201.3"/>
    <n v="100"/>
    <n v="17.11"/>
    <n v="214.7"/>
    <n v="88"/>
    <n v="9.66"/>
    <x v="84"/>
    <x v="4"/>
    <x v="84"/>
    <x v="2"/>
    <x v="1"/>
  </r>
  <r>
    <s v="TN"/>
    <x v="102"/>
    <s v="area_code_510"/>
    <x v="0"/>
    <x v="1"/>
    <n v="0"/>
    <n v="119.3"/>
    <n v="82"/>
    <n v="20.28"/>
    <n v="185.1"/>
    <n v="111"/>
    <n v="15.73"/>
    <n v="157"/>
    <n v="74"/>
    <n v="7.07"/>
    <x v="54"/>
    <x v="4"/>
    <x v="54"/>
    <x v="2"/>
    <x v="0"/>
  </r>
  <r>
    <s v="NY"/>
    <x v="46"/>
    <s v="area_code_408"/>
    <x v="0"/>
    <x v="1"/>
    <n v="0"/>
    <n v="242.5"/>
    <n v="82"/>
    <n v="41.23"/>
    <n v="232.9"/>
    <n v="97"/>
    <n v="19.8"/>
    <n v="154"/>
    <n v="86"/>
    <n v="6.93"/>
    <x v="63"/>
    <x v="2"/>
    <x v="63"/>
    <x v="1"/>
    <x v="0"/>
  </r>
  <r>
    <s v="GA"/>
    <x v="59"/>
    <s v="area_code_408"/>
    <x v="1"/>
    <x v="0"/>
    <n v="18"/>
    <n v="222.1"/>
    <n v="89"/>
    <n v="37.76"/>
    <n v="160.6"/>
    <n v="109"/>
    <n v="13.65"/>
    <n v="218.8"/>
    <n v="102"/>
    <n v="9.85"/>
    <x v="109"/>
    <x v="5"/>
    <x v="109"/>
    <x v="1"/>
    <x v="1"/>
  </r>
  <r>
    <s v="MN"/>
    <x v="106"/>
    <s v="area_code_408"/>
    <x v="0"/>
    <x v="1"/>
    <n v="0"/>
    <n v="236.2"/>
    <n v="135"/>
    <n v="40.15"/>
    <n v="273.89999999999998"/>
    <n v="88"/>
    <n v="23.28"/>
    <n v="227"/>
    <n v="77"/>
    <n v="10.220000000000001"/>
    <x v="3"/>
    <x v="3"/>
    <x v="3"/>
    <x v="2"/>
    <x v="1"/>
  </r>
  <r>
    <s v="MI"/>
    <x v="66"/>
    <s v="area_code_510"/>
    <x v="0"/>
    <x v="1"/>
    <n v="0"/>
    <n v="144.19999999999999"/>
    <n v="87"/>
    <n v="24.51"/>
    <n v="212.2"/>
    <n v="74"/>
    <n v="18.04"/>
    <n v="169.3"/>
    <n v="87"/>
    <n v="7.62"/>
    <x v="17"/>
    <x v="4"/>
    <x v="17"/>
    <x v="1"/>
    <x v="0"/>
  </r>
  <r>
    <s v="ID"/>
    <x v="113"/>
    <s v="area_code_408"/>
    <x v="0"/>
    <x v="0"/>
    <n v="19"/>
    <n v="154.6"/>
    <n v="100"/>
    <n v="26.28"/>
    <n v="241.6"/>
    <n v="109"/>
    <n v="20.54"/>
    <n v="160"/>
    <n v="112"/>
    <n v="7.2"/>
    <x v="44"/>
    <x v="8"/>
    <x v="44"/>
    <x v="3"/>
    <x v="0"/>
  </r>
  <r>
    <s v="CT"/>
    <x v="147"/>
    <s v="area_code_415"/>
    <x v="0"/>
    <x v="0"/>
    <n v="25"/>
    <n v="137.4"/>
    <n v="100"/>
    <n v="23.36"/>
    <n v="176.7"/>
    <n v="83"/>
    <n v="15.02"/>
    <n v="188.2"/>
    <n v="93"/>
    <n v="8.4700000000000006"/>
    <x v="39"/>
    <x v="3"/>
    <x v="39"/>
    <x v="2"/>
    <x v="0"/>
  </r>
  <r>
    <s v="NC"/>
    <x v="49"/>
    <s v="area_code_415"/>
    <x v="0"/>
    <x v="1"/>
    <n v="0"/>
    <n v="103.7"/>
    <n v="93"/>
    <n v="17.63"/>
    <n v="127"/>
    <n v="107"/>
    <n v="10.8"/>
    <n v="329.3"/>
    <n v="66"/>
    <n v="14.82"/>
    <x v="90"/>
    <x v="8"/>
    <x v="90"/>
    <x v="1"/>
    <x v="0"/>
  </r>
  <r>
    <s v="LA"/>
    <x v="50"/>
    <s v="area_code_415"/>
    <x v="0"/>
    <x v="1"/>
    <n v="0"/>
    <n v="136.6"/>
    <n v="112"/>
    <n v="23.22"/>
    <n v="209.4"/>
    <n v="81"/>
    <n v="17.8"/>
    <n v="161.1"/>
    <n v="78"/>
    <n v="7.25"/>
    <x v="1"/>
    <x v="5"/>
    <x v="1"/>
    <x v="4"/>
    <x v="1"/>
  </r>
  <r>
    <s v="NJ"/>
    <x v="37"/>
    <s v="area_code_408"/>
    <x v="0"/>
    <x v="1"/>
    <n v="0"/>
    <n v="289.8"/>
    <n v="101"/>
    <n v="49.27"/>
    <n v="255.6"/>
    <n v="115"/>
    <n v="21.73"/>
    <n v="242.8"/>
    <n v="76"/>
    <n v="10.93"/>
    <x v="50"/>
    <x v="4"/>
    <x v="50"/>
    <x v="2"/>
    <x v="1"/>
  </r>
  <r>
    <s v="TX"/>
    <x v="106"/>
    <s v="area_code_408"/>
    <x v="0"/>
    <x v="1"/>
    <n v="0"/>
    <n v="260.89999999999998"/>
    <n v="85"/>
    <n v="44.35"/>
    <n v="168.5"/>
    <n v="103"/>
    <n v="14.32"/>
    <n v="178.3"/>
    <n v="91"/>
    <n v="8.02"/>
    <x v="64"/>
    <x v="1"/>
    <x v="64"/>
    <x v="3"/>
    <x v="0"/>
  </r>
  <r>
    <s v="MD"/>
    <x v="186"/>
    <s v="area_code_510"/>
    <x v="0"/>
    <x v="1"/>
    <n v="0"/>
    <n v="195.6"/>
    <n v="71"/>
    <n v="33.25"/>
    <n v="126.4"/>
    <n v="74"/>
    <n v="10.74"/>
    <n v="148.6"/>
    <n v="87"/>
    <n v="6.69"/>
    <x v="66"/>
    <x v="4"/>
    <x v="66"/>
    <x v="0"/>
    <x v="0"/>
  </r>
  <r>
    <s v="WY"/>
    <x v="18"/>
    <s v="area_code_415"/>
    <x v="0"/>
    <x v="1"/>
    <n v="0"/>
    <n v="222.2"/>
    <n v="96"/>
    <n v="37.770000000000003"/>
    <n v="162.5"/>
    <n v="111"/>
    <n v="13.81"/>
    <n v="184.9"/>
    <n v="120"/>
    <n v="8.32"/>
    <x v="78"/>
    <x v="2"/>
    <x v="78"/>
    <x v="4"/>
    <x v="0"/>
  </r>
  <r>
    <s v="TX"/>
    <x v="167"/>
    <s v="area_code_510"/>
    <x v="1"/>
    <x v="1"/>
    <n v="0"/>
    <n v="172.9"/>
    <n v="119"/>
    <n v="29.39"/>
    <n v="183"/>
    <n v="86"/>
    <n v="15.56"/>
    <n v="226.4"/>
    <n v="100"/>
    <n v="10.19"/>
    <x v="52"/>
    <x v="8"/>
    <x v="52"/>
    <x v="1"/>
    <x v="1"/>
  </r>
  <r>
    <s v="CA"/>
    <x v="18"/>
    <s v="area_code_408"/>
    <x v="0"/>
    <x v="1"/>
    <n v="0"/>
    <n v="249.8"/>
    <n v="109"/>
    <n v="42.47"/>
    <n v="242.4"/>
    <n v="106"/>
    <n v="20.6"/>
    <n v="231.8"/>
    <n v="78"/>
    <n v="10.43"/>
    <x v="43"/>
    <x v="4"/>
    <x v="43"/>
    <x v="1"/>
    <x v="1"/>
  </r>
  <r>
    <s v="UT"/>
    <x v="40"/>
    <s v="area_code_510"/>
    <x v="0"/>
    <x v="1"/>
    <n v="0"/>
    <n v="154.5"/>
    <n v="84"/>
    <n v="26.27"/>
    <n v="216.2"/>
    <n v="91"/>
    <n v="18.38"/>
    <n v="229.8"/>
    <n v="82"/>
    <n v="10.34"/>
    <x v="0"/>
    <x v="0"/>
    <x v="0"/>
    <x v="0"/>
    <x v="0"/>
  </r>
  <r>
    <s v="WA"/>
    <x v="57"/>
    <s v="area_code_510"/>
    <x v="0"/>
    <x v="1"/>
    <n v="0"/>
    <n v="90.4"/>
    <n v="108"/>
    <n v="15.37"/>
    <n v="276.2"/>
    <n v="77"/>
    <n v="23.48"/>
    <n v="146.5"/>
    <n v="111"/>
    <n v="6.59"/>
    <x v="8"/>
    <x v="5"/>
    <x v="8"/>
    <x v="0"/>
    <x v="0"/>
  </r>
  <r>
    <s v="MS"/>
    <x v="155"/>
    <s v="area_code_510"/>
    <x v="0"/>
    <x v="0"/>
    <n v="27"/>
    <n v="268.8"/>
    <n v="78"/>
    <n v="45.7"/>
    <n v="246.6"/>
    <n v="89"/>
    <n v="20.96"/>
    <n v="271.89999999999998"/>
    <n v="102"/>
    <n v="12.24"/>
    <x v="123"/>
    <x v="0"/>
    <x v="123"/>
    <x v="1"/>
    <x v="0"/>
  </r>
  <r>
    <s v="OH"/>
    <x v="41"/>
    <s v="area_code_408"/>
    <x v="0"/>
    <x v="1"/>
    <n v="0"/>
    <n v="106.1"/>
    <n v="95"/>
    <n v="18.04"/>
    <n v="157.6"/>
    <n v="113"/>
    <n v="13.4"/>
    <n v="192.5"/>
    <n v="69"/>
    <n v="8.66"/>
    <x v="111"/>
    <x v="0"/>
    <x v="111"/>
    <x v="0"/>
    <x v="0"/>
  </r>
  <r>
    <s v="KS"/>
    <x v="47"/>
    <s v="area_code_415"/>
    <x v="0"/>
    <x v="1"/>
    <n v="0"/>
    <n v="27"/>
    <n v="117"/>
    <n v="4.59"/>
    <n v="160.9"/>
    <n v="97"/>
    <n v="13.68"/>
    <n v="279.5"/>
    <n v="96"/>
    <n v="12.58"/>
    <x v="85"/>
    <x v="0"/>
    <x v="85"/>
    <x v="3"/>
    <x v="0"/>
  </r>
  <r>
    <s v="IN"/>
    <x v="60"/>
    <s v="area_code_510"/>
    <x v="0"/>
    <x v="1"/>
    <n v="0"/>
    <n v="245"/>
    <n v="112"/>
    <n v="41.65"/>
    <n v="180.4"/>
    <n v="91"/>
    <n v="15.33"/>
    <n v="262.89999999999998"/>
    <n v="105"/>
    <n v="11.83"/>
    <x v="84"/>
    <x v="3"/>
    <x v="84"/>
    <x v="0"/>
    <x v="0"/>
  </r>
  <r>
    <s v="VT"/>
    <x v="57"/>
    <s v="area_code_408"/>
    <x v="0"/>
    <x v="1"/>
    <n v="0"/>
    <n v="196.7"/>
    <n v="85"/>
    <n v="33.44"/>
    <n v="205.9"/>
    <n v="74"/>
    <n v="17.5"/>
    <n v="216.6"/>
    <n v="112"/>
    <n v="9.75"/>
    <x v="7"/>
    <x v="1"/>
    <x v="7"/>
    <x v="3"/>
    <x v="0"/>
  </r>
  <r>
    <s v="MT"/>
    <x v="15"/>
    <s v="area_code_408"/>
    <x v="0"/>
    <x v="0"/>
    <n v="26"/>
    <n v="131.19999999999999"/>
    <n v="98"/>
    <n v="22.3"/>
    <n v="106.5"/>
    <n v="97"/>
    <n v="9.0500000000000007"/>
    <n v="221.7"/>
    <n v="96"/>
    <n v="9.98"/>
    <x v="39"/>
    <x v="3"/>
    <x v="39"/>
    <x v="2"/>
    <x v="0"/>
  </r>
  <r>
    <s v="CT"/>
    <x v="117"/>
    <s v="area_code_408"/>
    <x v="0"/>
    <x v="0"/>
    <n v="23"/>
    <n v="149.6"/>
    <n v="96"/>
    <n v="25.43"/>
    <n v="239.8"/>
    <n v="124"/>
    <n v="20.38"/>
    <n v="293.5"/>
    <n v="135"/>
    <n v="13.21"/>
    <x v="33"/>
    <x v="4"/>
    <x v="33"/>
    <x v="2"/>
    <x v="0"/>
  </r>
  <r>
    <s v="NM"/>
    <x v="67"/>
    <s v="area_code_415"/>
    <x v="0"/>
    <x v="1"/>
    <n v="0"/>
    <n v="239.8"/>
    <n v="70"/>
    <n v="40.770000000000003"/>
    <n v="251.8"/>
    <n v="99"/>
    <n v="21.4"/>
    <n v="168.6"/>
    <n v="112"/>
    <n v="7.59"/>
    <x v="54"/>
    <x v="11"/>
    <x v="54"/>
    <x v="0"/>
    <x v="0"/>
  </r>
  <r>
    <s v="OH"/>
    <x v="36"/>
    <s v="area_code_408"/>
    <x v="0"/>
    <x v="0"/>
    <n v="31"/>
    <n v="142.1"/>
    <n v="77"/>
    <n v="24.16"/>
    <n v="193"/>
    <n v="97"/>
    <n v="16.41"/>
    <n v="253.4"/>
    <n v="88"/>
    <n v="11.4"/>
    <x v="34"/>
    <x v="4"/>
    <x v="34"/>
    <x v="0"/>
    <x v="0"/>
  </r>
  <r>
    <s v="MN"/>
    <x v="131"/>
    <s v="area_code_510"/>
    <x v="0"/>
    <x v="0"/>
    <n v="31"/>
    <n v="193"/>
    <n v="99"/>
    <n v="32.81"/>
    <n v="224.8"/>
    <n v="87"/>
    <n v="19.11"/>
    <n v="197.6"/>
    <n v="91"/>
    <n v="8.89"/>
    <x v="19"/>
    <x v="10"/>
    <x v="19"/>
    <x v="2"/>
    <x v="0"/>
  </r>
  <r>
    <s v="CT"/>
    <x v="60"/>
    <s v="area_code_415"/>
    <x v="0"/>
    <x v="1"/>
    <n v="0"/>
    <n v="206.1"/>
    <n v="49"/>
    <n v="35.04"/>
    <n v="224.6"/>
    <n v="115"/>
    <n v="19.09"/>
    <n v="256.7"/>
    <n v="74"/>
    <n v="11.55"/>
    <x v="14"/>
    <x v="8"/>
    <x v="14"/>
    <x v="0"/>
    <x v="0"/>
  </r>
  <r>
    <s v="AL"/>
    <x v="108"/>
    <s v="area_code_415"/>
    <x v="0"/>
    <x v="1"/>
    <n v="0"/>
    <n v="160.30000000000001"/>
    <n v="138"/>
    <n v="27.25"/>
    <n v="221.3"/>
    <n v="92"/>
    <n v="18.809999999999999"/>
    <n v="150.4"/>
    <n v="120"/>
    <n v="6.77"/>
    <x v="7"/>
    <x v="5"/>
    <x v="7"/>
    <x v="1"/>
    <x v="0"/>
  </r>
  <r>
    <s v="WV"/>
    <x v="47"/>
    <s v="area_code_415"/>
    <x v="0"/>
    <x v="1"/>
    <n v="0"/>
    <n v="199.9"/>
    <n v="108"/>
    <n v="33.979999999999997"/>
    <n v="288.39999999999998"/>
    <n v="80"/>
    <n v="24.51"/>
    <n v="180.6"/>
    <n v="103"/>
    <n v="8.1300000000000008"/>
    <x v="61"/>
    <x v="2"/>
    <x v="61"/>
    <x v="0"/>
    <x v="0"/>
  </r>
  <r>
    <s v="NH"/>
    <x v="17"/>
    <s v="area_code_415"/>
    <x v="0"/>
    <x v="1"/>
    <n v="0"/>
    <n v="213.1"/>
    <n v="105"/>
    <n v="36.229999999999997"/>
    <n v="206.2"/>
    <n v="108"/>
    <n v="17.53"/>
    <n v="163.4"/>
    <n v="93"/>
    <n v="7.35"/>
    <x v="56"/>
    <x v="0"/>
    <x v="56"/>
    <x v="1"/>
    <x v="0"/>
  </r>
  <r>
    <s v="WY"/>
    <x v="146"/>
    <s v="area_code_415"/>
    <x v="0"/>
    <x v="1"/>
    <n v="0"/>
    <n v="178.3"/>
    <n v="102"/>
    <n v="30.31"/>
    <n v="235"/>
    <n v="120"/>
    <n v="19.98"/>
    <n v="239.7"/>
    <n v="119"/>
    <n v="10.79"/>
    <x v="54"/>
    <x v="8"/>
    <x v="54"/>
    <x v="3"/>
    <x v="0"/>
  </r>
  <r>
    <s v="VA"/>
    <x v="73"/>
    <s v="area_code_510"/>
    <x v="1"/>
    <x v="1"/>
    <n v="0"/>
    <n v="252.3"/>
    <n v="120"/>
    <n v="42.89"/>
    <n v="207"/>
    <n v="112"/>
    <n v="17.600000000000001"/>
    <n v="284.60000000000002"/>
    <n v="95"/>
    <n v="12.81"/>
    <x v="42"/>
    <x v="1"/>
    <x v="42"/>
    <x v="3"/>
    <x v="1"/>
  </r>
  <r>
    <s v="VT"/>
    <x v="119"/>
    <s v="area_code_415"/>
    <x v="0"/>
    <x v="1"/>
    <n v="0"/>
    <n v="197.7"/>
    <n v="64"/>
    <n v="33.61"/>
    <n v="136.69999999999999"/>
    <n v="126"/>
    <n v="11.62"/>
    <n v="244.4"/>
    <n v="81"/>
    <n v="11"/>
    <x v="32"/>
    <x v="1"/>
    <x v="32"/>
    <x v="4"/>
    <x v="0"/>
  </r>
  <r>
    <s v="OH"/>
    <x v="28"/>
    <s v="area_code_510"/>
    <x v="0"/>
    <x v="0"/>
    <n v="29"/>
    <n v="111.1"/>
    <n v="105"/>
    <n v="18.89"/>
    <n v="217.9"/>
    <n v="101"/>
    <n v="18.52"/>
    <n v="248.1"/>
    <n v="108"/>
    <n v="11.16"/>
    <x v="2"/>
    <x v="0"/>
    <x v="2"/>
    <x v="2"/>
    <x v="0"/>
  </r>
  <r>
    <s v="MT"/>
    <x v="108"/>
    <s v="area_code_415"/>
    <x v="0"/>
    <x v="1"/>
    <n v="0"/>
    <n v="96.5"/>
    <n v="86"/>
    <n v="16.41"/>
    <n v="210.2"/>
    <n v="133"/>
    <n v="17.87"/>
    <n v="146.4"/>
    <n v="106"/>
    <n v="6.59"/>
    <x v="60"/>
    <x v="0"/>
    <x v="60"/>
    <x v="0"/>
    <x v="1"/>
  </r>
  <r>
    <s v="VA"/>
    <x v="180"/>
    <s v="area_code_415"/>
    <x v="0"/>
    <x v="1"/>
    <n v="0"/>
    <n v="123.3"/>
    <n v="78"/>
    <n v="20.96"/>
    <n v="170"/>
    <n v="85"/>
    <n v="14.45"/>
    <n v="165.9"/>
    <n v="78"/>
    <n v="7.47"/>
    <x v="8"/>
    <x v="5"/>
    <x v="8"/>
    <x v="0"/>
    <x v="0"/>
  </r>
  <r>
    <s v="NM"/>
    <x v="102"/>
    <s v="area_code_415"/>
    <x v="0"/>
    <x v="1"/>
    <n v="0"/>
    <n v="193.7"/>
    <n v="108"/>
    <n v="32.93"/>
    <n v="183.2"/>
    <n v="124"/>
    <n v="15.57"/>
    <n v="293.7"/>
    <n v="72"/>
    <n v="13.22"/>
    <x v="81"/>
    <x v="1"/>
    <x v="81"/>
    <x v="0"/>
    <x v="0"/>
  </r>
  <r>
    <s v="AR"/>
    <x v="121"/>
    <s v="area_code_408"/>
    <x v="1"/>
    <x v="1"/>
    <n v="0"/>
    <n v="206.9"/>
    <n v="134"/>
    <n v="35.17"/>
    <n v="167.7"/>
    <n v="105"/>
    <n v="14.25"/>
    <n v="155.69999999999999"/>
    <n v="86"/>
    <n v="7.01"/>
    <x v="54"/>
    <x v="4"/>
    <x v="54"/>
    <x v="1"/>
    <x v="0"/>
  </r>
  <r>
    <s v="NE"/>
    <x v="49"/>
    <s v="area_code_415"/>
    <x v="0"/>
    <x v="1"/>
    <n v="0"/>
    <n v="249.8"/>
    <n v="96"/>
    <n v="42.47"/>
    <n v="261.89999999999998"/>
    <n v="92"/>
    <n v="22.26"/>
    <n v="166.8"/>
    <n v="108"/>
    <n v="7.51"/>
    <x v="8"/>
    <x v="4"/>
    <x v="8"/>
    <x v="3"/>
    <x v="1"/>
  </r>
  <r>
    <s v="WY"/>
    <x v="39"/>
    <s v="area_code_408"/>
    <x v="0"/>
    <x v="1"/>
    <n v="0"/>
    <n v="144"/>
    <n v="102"/>
    <n v="24.48"/>
    <n v="224.7"/>
    <n v="73"/>
    <n v="19.100000000000001"/>
    <n v="227.7"/>
    <n v="91"/>
    <n v="10.25"/>
    <x v="13"/>
    <x v="2"/>
    <x v="13"/>
    <x v="0"/>
    <x v="0"/>
  </r>
  <r>
    <s v="IA"/>
    <x v="64"/>
    <s v="area_code_415"/>
    <x v="0"/>
    <x v="0"/>
    <n v="33"/>
    <n v="299.5"/>
    <n v="83"/>
    <n v="50.92"/>
    <n v="163.4"/>
    <n v="84"/>
    <n v="13.89"/>
    <n v="146.69999999999999"/>
    <n v="88"/>
    <n v="6.6"/>
    <x v="43"/>
    <x v="1"/>
    <x v="43"/>
    <x v="1"/>
    <x v="0"/>
  </r>
  <r>
    <s v="SC"/>
    <x v="201"/>
    <s v="area_code_415"/>
    <x v="0"/>
    <x v="1"/>
    <n v="0"/>
    <n v="226"/>
    <n v="127"/>
    <n v="38.42"/>
    <n v="304.60000000000002"/>
    <n v="83"/>
    <n v="25.89"/>
    <n v="181.2"/>
    <n v="132"/>
    <n v="8.15"/>
    <x v="44"/>
    <x v="4"/>
    <x v="44"/>
    <x v="2"/>
    <x v="1"/>
  </r>
  <r>
    <s v="NC"/>
    <x v="145"/>
    <s v="area_code_415"/>
    <x v="0"/>
    <x v="1"/>
    <n v="0"/>
    <n v="137.6"/>
    <n v="106"/>
    <n v="23.39"/>
    <n v="143.5"/>
    <n v="94"/>
    <n v="12.2"/>
    <n v="273.7"/>
    <n v="110"/>
    <n v="12.32"/>
    <x v="63"/>
    <x v="3"/>
    <x v="63"/>
    <x v="2"/>
    <x v="0"/>
  </r>
  <r>
    <s v="HI"/>
    <x v="61"/>
    <s v="area_code_415"/>
    <x v="1"/>
    <x v="0"/>
    <n v="26"/>
    <n v="211.7"/>
    <n v="121"/>
    <n v="35.99"/>
    <n v="139.19999999999999"/>
    <n v="123"/>
    <n v="11.83"/>
    <n v="146.69999999999999"/>
    <n v="89"/>
    <n v="6.6"/>
    <x v="22"/>
    <x v="0"/>
    <x v="22"/>
    <x v="0"/>
    <x v="0"/>
  </r>
  <r>
    <s v="UT"/>
    <x v="121"/>
    <s v="area_code_415"/>
    <x v="0"/>
    <x v="1"/>
    <n v="0"/>
    <n v="89.7"/>
    <n v="80"/>
    <n v="15.25"/>
    <n v="179.8"/>
    <n v="81"/>
    <n v="15.28"/>
    <n v="145.69999999999999"/>
    <n v="120"/>
    <n v="6.56"/>
    <x v="17"/>
    <x v="4"/>
    <x v="17"/>
    <x v="2"/>
    <x v="0"/>
  </r>
  <r>
    <s v="WY"/>
    <x v="49"/>
    <s v="area_code_408"/>
    <x v="1"/>
    <x v="1"/>
    <n v="0"/>
    <n v="197.6"/>
    <n v="126"/>
    <n v="33.590000000000003"/>
    <n v="246.5"/>
    <n v="112"/>
    <n v="20.95"/>
    <n v="285.3"/>
    <n v="104"/>
    <n v="12.84"/>
    <x v="60"/>
    <x v="10"/>
    <x v="60"/>
    <x v="2"/>
    <x v="0"/>
  </r>
  <r>
    <s v="AL"/>
    <x v="161"/>
    <s v="area_code_408"/>
    <x v="0"/>
    <x v="1"/>
    <n v="0"/>
    <n v="270"/>
    <n v="102"/>
    <n v="45.9"/>
    <n v="256.60000000000002"/>
    <n v="111"/>
    <n v="21.81"/>
    <n v="168.5"/>
    <n v="104"/>
    <n v="7.58"/>
    <x v="42"/>
    <x v="1"/>
    <x v="42"/>
    <x v="2"/>
    <x v="1"/>
  </r>
  <r>
    <s v="VA"/>
    <x v="3"/>
    <s v="area_code_415"/>
    <x v="0"/>
    <x v="1"/>
    <n v="0"/>
    <n v="224.7"/>
    <n v="116"/>
    <n v="38.200000000000003"/>
    <n v="192"/>
    <n v="79"/>
    <n v="16.32"/>
    <n v="212.2"/>
    <n v="98"/>
    <n v="9.5500000000000007"/>
    <x v="61"/>
    <x v="12"/>
    <x v="61"/>
    <x v="3"/>
    <x v="0"/>
  </r>
  <r>
    <s v="WI"/>
    <x v="118"/>
    <s v="area_code_510"/>
    <x v="0"/>
    <x v="1"/>
    <n v="0"/>
    <n v="194.3"/>
    <n v="99"/>
    <n v="33.03"/>
    <n v="123.6"/>
    <n v="133"/>
    <n v="10.51"/>
    <n v="229.5"/>
    <n v="99"/>
    <n v="10.33"/>
    <x v="39"/>
    <x v="5"/>
    <x v="39"/>
    <x v="2"/>
    <x v="0"/>
  </r>
  <r>
    <s v="FL"/>
    <x v="123"/>
    <s v="area_code_510"/>
    <x v="1"/>
    <x v="1"/>
    <n v="0"/>
    <n v="47.7"/>
    <n v="89"/>
    <n v="8.11"/>
    <n v="264.39999999999998"/>
    <n v="95"/>
    <n v="22.47"/>
    <n v="235.2"/>
    <n v="97"/>
    <n v="10.58"/>
    <x v="32"/>
    <x v="0"/>
    <x v="32"/>
    <x v="1"/>
    <x v="1"/>
  </r>
  <r>
    <s v="KS"/>
    <x v="19"/>
    <s v="area_code_415"/>
    <x v="0"/>
    <x v="1"/>
    <n v="0"/>
    <n v="190.1"/>
    <n v="105"/>
    <n v="32.32"/>
    <n v="182.2"/>
    <n v="116"/>
    <n v="15.49"/>
    <n v="279.8"/>
    <n v="105"/>
    <n v="12.59"/>
    <x v="14"/>
    <x v="5"/>
    <x v="14"/>
    <x v="0"/>
    <x v="0"/>
  </r>
  <r>
    <s v="NV"/>
    <x v="60"/>
    <s v="area_code_408"/>
    <x v="1"/>
    <x v="1"/>
    <n v="0"/>
    <n v="89.5"/>
    <n v="94"/>
    <n v="15.22"/>
    <n v="339.9"/>
    <n v="106"/>
    <n v="28.89"/>
    <n v="172.9"/>
    <n v="76"/>
    <n v="7.78"/>
    <x v="57"/>
    <x v="8"/>
    <x v="57"/>
    <x v="0"/>
    <x v="1"/>
  </r>
  <r>
    <s v="NY"/>
    <x v="63"/>
    <s v="area_code_415"/>
    <x v="0"/>
    <x v="1"/>
    <n v="0"/>
    <n v="182.6"/>
    <n v="83"/>
    <n v="31.04"/>
    <n v="154.5"/>
    <n v="111"/>
    <n v="13.13"/>
    <n v="196"/>
    <n v="57"/>
    <n v="8.82"/>
    <x v="47"/>
    <x v="1"/>
    <x v="47"/>
    <x v="1"/>
    <x v="0"/>
  </r>
  <r>
    <s v="VA"/>
    <x v="27"/>
    <s v="area_code_415"/>
    <x v="0"/>
    <x v="0"/>
    <n v="35"/>
    <n v="205.5"/>
    <n v="86"/>
    <n v="34.94"/>
    <n v="298.5"/>
    <n v="119"/>
    <n v="25.37"/>
    <n v="214.2"/>
    <n v="104"/>
    <n v="9.64"/>
    <x v="72"/>
    <x v="4"/>
    <x v="72"/>
    <x v="0"/>
    <x v="0"/>
  </r>
  <r>
    <s v="KS"/>
    <x v="115"/>
    <s v="area_code_415"/>
    <x v="0"/>
    <x v="1"/>
    <n v="0"/>
    <n v="231.5"/>
    <n v="82"/>
    <n v="39.36"/>
    <n v="266.89999999999998"/>
    <n v="97"/>
    <n v="22.69"/>
    <n v="211"/>
    <n v="118"/>
    <n v="9.49"/>
    <x v="33"/>
    <x v="11"/>
    <x v="33"/>
    <x v="0"/>
    <x v="0"/>
  </r>
  <r>
    <s v="NC"/>
    <x v="85"/>
    <s v="area_code_510"/>
    <x v="1"/>
    <x v="1"/>
    <n v="0"/>
    <n v="251.3"/>
    <n v="69"/>
    <n v="42.72"/>
    <n v="252.5"/>
    <n v="96"/>
    <n v="21.46"/>
    <n v="118.3"/>
    <n v="112"/>
    <n v="5.32"/>
    <x v="79"/>
    <x v="8"/>
    <x v="79"/>
    <x v="3"/>
    <x v="1"/>
  </r>
  <r>
    <s v="MO"/>
    <x v="31"/>
    <s v="area_code_415"/>
    <x v="0"/>
    <x v="1"/>
    <n v="0"/>
    <n v="171.2"/>
    <n v="103"/>
    <n v="29.1"/>
    <n v="243.5"/>
    <n v="121"/>
    <n v="20.7"/>
    <n v="178.2"/>
    <n v="92"/>
    <n v="8.02"/>
    <x v="14"/>
    <x v="0"/>
    <x v="14"/>
    <x v="2"/>
    <x v="0"/>
  </r>
  <r>
    <s v="CA"/>
    <x v="64"/>
    <s v="area_code_510"/>
    <x v="0"/>
    <x v="1"/>
    <n v="0"/>
    <n v="134.80000000000001"/>
    <n v="94"/>
    <n v="22.92"/>
    <n v="204.1"/>
    <n v="106"/>
    <n v="17.350000000000001"/>
    <n v="238.4"/>
    <n v="109"/>
    <n v="10.73"/>
    <x v="92"/>
    <x v="10"/>
    <x v="92"/>
    <x v="0"/>
    <x v="0"/>
  </r>
  <r>
    <s v="WV"/>
    <x v="184"/>
    <s v="area_code_415"/>
    <x v="0"/>
    <x v="1"/>
    <n v="0"/>
    <n v="191.4"/>
    <n v="114"/>
    <n v="32.54"/>
    <n v="168.5"/>
    <n v="138"/>
    <n v="14.32"/>
    <n v="109.3"/>
    <n v="99"/>
    <n v="4.92"/>
    <x v="19"/>
    <x v="0"/>
    <x v="19"/>
    <x v="0"/>
    <x v="0"/>
  </r>
  <r>
    <s v="IL"/>
    <x v="166"/>
    <s v="area_code_415"/>
    <x v="0"/>
    <x v="1"/>
    <n v="0"/>
    <n v="174.5"/>
    <n v="65"/>
    <n v="29.67"/>
    <n v="197.4"/>
    <n v="116"/>
    <n v="16.78"/>
    <n v="238.5"/>
    <n v="86"/>
    <n v="10.73"/>
    <x v="15"/>
    <x v="5"/>
    <x v="15"/>
    <x v="1"/>
    <x v="0"/>
  </r>
  <r>
    <s v="NY"/>
    <x v="58"/>
    <s v="area_code_415"/>
    <x v="0"/>
    <x v="1"/>
    <n v="0"/>
    <n v="177.4"/>
    <n v="125"/>
    <n v="30.16"/>
    <n v="226.2"/>
    <n v="104"/>
    <n v="19.23"/>
    <n v="254.1"/>
    <n v="72"/>
    <n v="11.43"/>
    <x v="54"/>
    <x v="4"/>
    <x v="54"/>
    <x v="1"/>
    <x v="0"/>
  </r>
  <r>
    <s v="NV"/>
    <x v="70"/>
    <s v="area_code_510"/>
    <x v="0"/>
    <x v="1"/>
    <n v="0"/>
    <n v="182.1"/>
    <n v="89"/>
    <n v="30.96"/>
    <n v="211.5"/>
    <n v="104"/>
    <n v="17.98"/>
    <n v="207.4"/>
    <n v="124"/>
    <n v="9.33"/>
    <x v="36"/>
    <x v="8"/>
    <x v="36"/>
    <x v="0"/>
    <x v="0"/>
  </r>
  <r>
    <s v="AL"/>
    <x v="19"/>
    <s v="area_code_408"/>
    <x v="0"/>
    <x v="1"/>
    <n v="0"/>
    <n v="222.4"/>
    <n v="85"/>
    <n v="37.81"/>
    <n v="165.4"/>
    <n v="76"/>
    <n v="14.06"/>
    <n v="208.4"/>
    <n v="97"/>
    <n v="9.3800000000000008"/>
    <x v="7"/>
    <x v="4"/>
    <x v="7"/>
    <x v="1"/>
    <x v="0"/>
  </r>
  <r>
    <s v="UT"/>
    <x v="67"/>
    <s v="area_code_415"/>
    <x v="0"/>
    <x v="1"/>
    <n v="0"/>
    <n v="164.9"/>
    <n v="68"/>
    <n v="28.03"/>
    <n v="210.4"/>
    <n v="86"/>
    <n v="17.88"/>
    <n v="229.4"/>
    <n v="104"/>
    <n v="10.32"/>
    <x v="35"/>
    <x v="4"/>
    <x v="35"/>
    <x v="2"/>
    <x v="0"/>
  </r>
  <r>
    <s v="OH"/>
    <x v="143"/>
    <s v="area_code_415"/>
    <x v="0"/>
    <x v="1"/>
    <n v="0"/>
    <n v="193.6"/>
    <n v="58"/>
    <n v="32.909999999999997"/>
    <n v="148.69999999999999"/>
    <n v="115"/>
    <n v="12.64"/>
    <n v="282.5"/>
    <n v="105"/>
    <n v="12.71"/>
    <x v="67"/>
    <x v="8"/>
    <x v="67"/>
    <x v="2"/>
    <x v="0"/>
  </r>
  <r>
    <s v="WY"/>
    <x v="62"/>
    <s v="area_code_510"/>
    <x v="0"/>
    <x v="1"/>
    <n v="0"/>
    <n v="101.1"/>
    <n v="121"/>
    <n v="17.190000000000001"/>
    <n v="263.2"/>
    <n v="110"/>
    <n v="22.37"/>
    <n v="137.69999999999999"/>
    <n v="74"/>
    <n v="6.2"/>
    <x v="48"/>
    <x v="1"/>
    <x v="48"/>
    <x v="1"/>
    <x v="0"/>
  </r>
  <r>
    <s v="NM"/>
    <x v="21"/>
    <s v="area_code_415"/>
    <x v="0"/>
    <x v="0"/>
    <n v="24"/>
    <n v="92.3"/>
    <n v="88"/>
    <n v="15.69"/>
    <n v="193.1"/>
    <n v="98"/>
    <n v="16.41"/>
    <n v="99.3"/>
    <n v="119"/>
    <n v="4.47"/>
    <x v="43"/>
    <x v="0"/>
    <x v="43"/>
    <x v="2"/>
    <x v="0"/>
  </r>
  <r>
    <s v="AL"/>
    <x v="4"/>
    <s v="area_code_415"/>
    <x v="0"/>
    <x v="1"/>
    <n v="0"/>
    <n v="168.9"/>
    <n v="128"/>
    <n v="28.71"/>
    <n v="123.9"/>
    <n v="99"/>
    <n v="10.53"/>
    <n v="266.3"/>
    <n v="105"/>
    <n v="11.98"/>
    <x v="147"/>
    <x v="2"/>
    <x v="147"/>
    <x v="2"/>
    <x v="0"/>
  </r>
  <r>
    <s v="DC"/>
    <x v="68"/>
    <s v="area_code_510"/>
    <x v="0"/>
    <x v="0"/>
    <n v="29"/>
    <n v="219.2"/>
    <n v="102"/>
    <n v="37.26"/>
    <n v="206"/>
    <n v="109"/>
    <n v="17.510000000000002"/>
    <n v="192.4"/>
    <n v="117"/>
    <n v="8.66"/>
    <x v="51"/>
    <x v="1"/>
    <x v="51"/>
    <x v="0"/>
    <x v="0"/>
  </r>
  <r>
    <s v="AR"/>
    <x v="51"/>
    <s v="area_code_510"/>
    <x v="0"/>
    <x v="1"/>
    <n v="0"/>
    <n v="146.5"/>
    <n v="101"/>
    <n v="24.91"/>
    <n v="284.5"/>
    <n v="142"/>
    <n v="24.18"/>
    <n v="176"/>
    <n v="98"/>
    <n v="7.92"/>
    <x v="100"/>
    <x v="3"/>
    <x v="100"/>
    <x v="3"/>
    <x v="0"/>
  </r>
  <r>
    <s v="ID"/>
    <x v="73"/>
    <s v="area_code_415"/>
    <x v="0"/>
    <x v="0"/>
    <n v="31"/>
    <n v="172.3"/>
    <n v="116"/>
    <n v="29.29"/>
    <n v="266.2"/>
    <n v="91"/>
    <n v="22.63"/>
    <n v="228.2"/>
    <n v="90"/>
    <n v="10.27"/>
    <x v="23"/>
    <x v="1"/>
    <x v="23"/>
    <x v="0"/>
    <x v="0"/>
  </r>
  <r>
    <s v="TX"/>
    <x v="49"/>
    <s v="area_code_415"/>
    <x v="0"/>
    <x v="1"/>
    <n v="0"/>
    <n v="190.9"/>
    <n v="143"/>
    <n v="32.450000000000003"/>
    <n v="149.69999999999999"/>
    <n v="72"/>
    <n v="12.72"/>
    <n v="191.4"/>
    <n v="87"/>
    <n v="8.61"/>
    <x v="14"/>
    <x v="0"/>
    <x v="14"/>
    <x v="0"/>
    <x v="0"/>
  </r>
  <r>
    <s v="NM"/>
    <x v="70"/>
    <s v="area_code_415"/>
    <x v="0"/>
    <x v="1"/>
    <n v="0"/>
    <n v="232.1"/>
    <n v="74"/>
    <n v="39.46"/>
    <n v="327.10000000000002"/>
    <n v="88"/>
    <n v="27.8"/>
    <n v="226.5"/>
    <n v="119"/>
    <n v="10.19"/>
    <x v="54"/>
    <x v="5"/>
    <x v="54"/>
    <x v="3"/>
    <x v="1"/>
  </r>
  <r>
    <s v="WA"/>
    <x v="120"/>
    <s v="area_code_415"/>
    <x v="0"/>
    <x v="1"/>
    <n v="0"/>
    <n v="169.2"/>
    <n v="124"/>
    <n v="28.76"/>
    <n v="173.3"/>
    <n v="108"/>
    <n v="14.73"/>
    <n v="216.5"/>
    <n v="64"/>
    <n v="9.74"/>
    <x v="70"/>
    <x v="4"/>
    <x v="70"/>
    <x v="4"/>
    <x v="1"/>
  </r>
  <r>
    <s v="UT"/>
    <x v="75"/>
    <s v="area_code_510"/>
    <x v="0"/>
    <x v="1"/>
    <n v="0"/>
    <n v="123.8"/>
    <n v="107"/>
    <n v="21.05"/>
    <n v="319"/>
    <n v="125"/>
    <n v="27.12"/>
    <n v="237.6"/>
    <n v="78"/>
    <n v="10.69"/>
    <x v="48"/>
    <x v="4"/>
    <x v="48"/>
    <x v="2"/>
    <x v="0"/>
  </r>
  <r>
    <s v="RI"/>
    <x v="76"/>
    <s v="area_code_510"/>
    <x v="0"/>
    <x v="1"/>
    <n v="0"/>
    <n v="96"/>
    <n v="117"/>
    <n v="16.32"/>
    <n v="177"/>
    <n v="68"/>
    <n v="15.05"/>
    <n v="162.19999999999999"/>
    <n v="127"/>
    <n v="7.3"/>
    <x v="84"/>
    <x v="4"/>
    <x v="84"/>
    <x v="3"/>
    <x v="0"/>
  </r>
  <r>
    <s v="NC"/>
    <x v="105"/>
    <s v="area_code_408"/>
    <x v="0"/>
    <x v="0"/>
    <n v="27"/>
    <n v="93.4"/>
    <n v="106"/>
    <n v="15.88"/>
    <n v="252"/>
    <n v="92"/>
    <n v="21.42"/>
    <n v="189"/>
    <n v="104"/>
    <n v="8.5"/>
    <x v="54"/>
    <x v="8"/>
    <x v="54"/>
    <x v="0"/>
    <x v="0"/>
  </r>
  <r>
    <s v="RI"/>
    <x v="48"/>
    <s v="area_code_415"/>
    <x v="0"/>
    <x v="1"/>
    <n v="0"/>
    <n v="90.6"/>
    <n v="130"/>
    <n v="15.4"/>
    <n v="170.6"/>
    <n v="100"/>
    <n v="14.5"/>
    <n v="137.4"/>
    <n v="74"/>
    <n v="6.18"/>
    <x v="11"/>
    <x v="6"/>
    <x v="11"/>
    <x v="0"/>
    <x v="0"/>
  </r>
  <r>
    <s v="NY"/>
    <x v="26"/>
    <s v="area_code_510"/>
    <x v="0"/>
    <x v="1"/>
    <n v="0"/>
    <n v="152.9"/>
    <n v="81"/>
    <n v="25.99"/>
    <n v="256.60000000000002"/>
    <n v="82"/>
    <n v="21.81"/>
    <n v="173.6"/>
    <n v="112"/>
    <n v="7.81"/>
    <x v="58"/>
    <x v="3"/>
    <x v="58"/>
    <x v="2"/>
    <x v="0"/>
  </r>
  <r>
    <s v="DE"/>
    <x v="27"/>
    <s v="area_code_408"/>
    <x v="1"/>
    <x v="0"/>
    <n v="29"/>
    <n v="85.2"/>
    <n v="98"/>
    <n v="14.48"/>
    <n v="230.4"/>
    <n v="85"/>
    <n v="19.579999999999998"/>
    <n v="243.6"/>
    <n v="104"/>
    <n v="10.96"/>
    <x v="62"/>
    <x v="0"/>
    <x v="62"/>
    <x v="2"/>
    <x v="0"/>
  </r>
  <r>
    <s v="MS"/>
    <x v="90"/>
    <s v="area_code_415"/>
    <x v="0"/>
    <x v="0"/>
    <n v="34"/>
    <n v="160"/>
    <n v="72"/>
    <n v="27.2"/>
    <n v="184.5"/>
    <n v="119"/>
    <n v="15.68"/>
    <n v="208.3"/>
    <n v="101"/>
    <n v="9.3699999999999992"/>
    <x v="49"/>
    <x v="11"/>
    <x v="49"/>
    <x v="0"/>
    <x v="0"/>
  </r>
  <r>
    <s v="OH"/>
    <x v="19"/>
    <s v="area_code_415"/>
    <x v="0"/>
    <x v="0"/>
    <n v="10"/>
    <n v="182.9"/>
    <n v="54"/>
    <n v="31.09"/>
    <n v="292.39999999999998"/>
    <n v="68"/>
    <n v="24.85"/>
    <n v="142.30000000000001"/>
    <n v="116"/>
    <n v="6.4"/>
    <x v="73"/>
    <x v="4"/>
    <x v="73"/>
    <x v="1"/>
    <x v="0"/>
  </r>
  <r>
    <s v="WA"/>
    <x v="77"/>
    <s v="area_code_415"/>
    <x v="0"/>
    <x v="1"/>
    <n v="0"/>
    <n v="241.2"/>
    <n v="105"/>
    <n v="41"/>
    <n v="174.3"/>
    <n v="85"/>
    <n v="14.82"/>
    <n v="245.3"/>
    <n v="59"/>
    <n v="11.04"/>
    <x v="31"/>
    <x v="4"/>
    <x v="31"/>
    <x v="2"/>
    <x v="0"/>
  </r>
  <r>
    <s v="WV"/>
    <x v="4"/>
    <s v="area_code_510"/>
    <x v="0"/>
    <x v="1"/>
    <n v="0"/>
    <n v="177.2"/>
    <n v="142"/>
    <n v="30.12"/>
    <n v="123.5"/>
    <n v="88"/>
    <n v="10.5"/>
    <n v="213.2"/>
    <n v="51"/>
    <n v="9.59"/>
    <x v="80"/>
    <x v="3"/>
    <x v="80"/>
    <x v="0"/>
    <x v="0"/>
  </r>
  <r>
    <s v="NY"/>
    <x v="43"/>
    <s v="area_code_510"/>
    <x v="0"/>
    <x v="1"/>
    <n v="0"/>
    <n v="89.5"/>
    <n v="128"/>
    <n v="15.22"/>
    <n v="180.8"/>
    <n v="137"/>
    <n v="15.37"/>
    <n v="193.1"/>
    <n v="94"/>
    <n v="8.69"/>
    <x v="100"/>
    <x v="0"/>
    <x v="100"/>
    <x v="2"/>
    <x v="0"/>
  </r>
  <r>
    <s v="NE"/>
    <x v="126"/>
    <s v="area_code_415"/>
    <x v="1"/>
    <x v="0"/>
    <n v="16"/>
    <n v="200.3"/>
    <n v="72"/>
    <n v="34.049999999999997"/>
    <n v="197.8"/>
    <n v="91"/>
    <n v="16.809999999999999"/>
    <n v="151.1"/>
    <n v="92"/>
    <n v="6.8"/>
    <x v="91"/>
    <x v="0"/>
    <x v="91"/>
    <x v="0"/>
    <x v="0"/>
  </r>
  <r>
    <s v="PA"/>
    <x v="35"/>
    <s v="area_code_510"/>
    <x v="1"/>
    <x v="1"/>
    <n v="0"/>
    <n v="145"/>
    <n v="103"/>
    <n v="24.65"/>
    <n v="294.3"/>
    <n v="93"/>
    <n v="25.02"/>
    <n v="239.8"/>
    <n v="120"/>
    <n v="10.79"/>
    <x v="34"/>
    <x v="5"/>
    <x v="34"/>
    <x v="4"/>
    <x v="1"/>
  </r>
  <r>
    <s v="MS"/>
    <x v="47"/>
    <s v="area_code_510"/>
    <x v="0"/>
    <x v="1"/>
    <n v="0"/>
    <n v="159.5"/>
    <n v="99"/>
    <n v="27.12"/>
    <n v="119.7"/>
    <n v="149"/>
    <n v="10.17"/>
    <n v="173.9"/>
    <n v="126"/>
    <n v="7.83"/>
    <x v="36"/>
    <x v="0"/>
    <x v="36"/>
    <x v="2"/>
    <x v="0"/>
  </r>
  <r>
    <s v="IN"/>
    <x v="77"/>
    <s v="area_code_415"/>
    <x v="0"/>
    <x v="1"/>
    <n v="0"/>
    <n v="151.80000000000001"/>
    <n v="106"/>
    <n v="25.81"/>
    <n v="138"/>
    <n v="126"/>
    <n v="11.73"/>
    <n v="233.5"/>
    <n v="112"/>
    <n v="10.51"/>
    <x v="7"/>
    <x v="10"/>
    <x v="7"/>
    <x v="3"/>
    <x v="0"/>
  </r>
  <r>
    <s v="VA"/>
    <x v="93"/>
    <s v="area_code_408"/>
    <x v="0"/>
    <x v="1"/>
    <n v="0"/>
    <n v="176.2"/>
    <n v="120"/>
    <n v="29.95"/>
    <n v="236"/>
    <n v="138"/>
    <n v="20.059999999999999"/>
    <n v="152.5"/>
    <n v="104"/>
    <n v="6.86"/>
    <x v="15"/>
    <x v="4"/>
    <x v="15"/>
    <x v="0"/>
    <x v="0"/>
  </r>
  <r>
    <s v="MN"/>
    <x v="123"/>
    <s v="area_code_408"/>
    <x v="0"/>
    <x v="1"/>
    <n v="0"/>
    <n v="152.1"/>
    <n v="95"/>
    <n v="25.86"/>
    <n v="121"/>
    <n v="105"/>
    <n v="10.29"/>
    <n v="198"/>
    <n v="126"/>
    <n v="8.91"/>
    <x v="52"/>
    <x v="1"/>
    <x v="52"/>
    <x v="1"/>
    <x v="0"/>
  </r>
  <r>
    <s v="DE"/>
    <x v="131"/>
    <s v="area_code_408"/>
    <x v="0"/>
    <x v="1"/>
    <n v="0"/>
    <n v="161.30000000000001"/>
    <n v="122"/>
    <n v="27.42"/>
    <n v="220.6"/>
    <n v="95"/>
    <n v="18.75"/>
    <n v="224.7"/>
    <n v="104"/>
    <n v="10.11"/>
    <x v="63"/>
    <x v="0"/>
    <x v="63"/>
    <x v="0"/>
    <x v="0"/>
  </r>
  <r>
    <s v="OR"/>
    <x v="78"/>
    <s v="area_code_510"/>
    <x v="1"/>
    <x v="1"/>
    <n v="0"/>
    <n v="171.7"/>
    <n v="78"/>
    <n v="29.19"/>
    <n v="144.5"/>
    <n v="86"/>
    <n v="12.28"/>
    <n v="157.9"/>
    <n v="106"/>
    <n v="7.11"/>
    <x v="36"/>
    <x v="0"/>
    <x v="36"/>
    <x v="3"/>
    <x v="0"/>
  </r>
  <r>
    <s v="UT"/>
    <x v="144"/>
    <s v="area_code_415"/>
    <x v="0"/>
    <x v="1"/>
    <n v="0"/>
    <n v="278.89999999999998"/>
    <n v="110"/>
    <n v="47.41"/>
    <n v="190.2"/>
    <n v="67"/>
    <n v="16.170000000000002"/>
    <n v="255.2"/>
    <n v="84"/>
    <n v="11.48"/>
    <x v="50"/>
    <x v="2"/>
    <x v="50"/>
    <x v="1"/>
    <x v="1"/>
  </r>
  <r>
    <s v="CT"/>
    <x v="126"/>
    <s v="area_code_415"/>
    <x v="0"/>
    <x v="0"/>
    <n v="27"/>
    <n v="213"/>
    <n v="121"/>
    <n v="36.21"/>
    <n v="226.2"/>
    <n v="101"/>
    <n v="19.23"/>
    <n v="189.8"/>
    <n v="99"/>
    <n v="8.5399999999999991"/>
    <x v="22"/>
    <x v="0"/>
    <x v="22"/>
    <x v="4"/>
    <x v="0"/>
  </r>
  <r>
    <s v="TX"/>
    <x v="28"/>
    <s v="area_code_415"/>
    <x v="0"/>
    <x v="1"/>
    <n v="0"/>
    <n v="217.2"/>
    <n v="121"/>
    <n v="36.92"/>
    <n v="303.39999999999998"/>
    <n v="73"/>
    <n v="25.79"/>
    <n v="197.1"/>
    <n v="71"/>
    <n v="8.8699999999999992"/>
    <x v="70"/>
    <x v="5"/>
    <x v="70"/>
    <x v="1"/>
    <x v="1"/>
  </r>
  <r>
    <s v="CT"/>
    <x v="53"/>
    <s v="area_code_415"/>
    <x v="0"/>
    <x v="1"/>
    <n v="0"/>
    <n v="175.9"/>
    <n v="111"/>
    <n v="29.9"/>
    <n v="285.2"/>
    <n v="115"/>
    <n v="24.24"/>
    <n v="150.80000000000001"/>
    <n v="122"/>
    <n v="6.79"/>
    <x v="14"/>
    <x v="2"/>
    <x v="14"/>
    <x v="0"/>
    <x v="0"/>
  </r>
  <r>
    <s v="AR"/>
    <x v="142"/>
    <s v="area_code_415"/>
    <x v="0"/>
    <x v="1"/>
    <n v="0"/>
    <n v="238.9"/>
    <n v="107"/>
    <n v="40.61"/>
    <n v="187.2"/>
    <n v="88"/>
    <n v="15.91"/>
    <n v="181.1"/>
    <n v="84"/>
    <n v="8.15"/>
    <x v="23"/>
    <x v="0"/>
    <x v="23"/>
    <x v="2"/>
    <x v="0"/>
  </r>
  <r>
    <s v="MI"/>
    <x v="43"/>
    <s v="area_code_408"/>
    <x v="0"/>
    <x v="1"/>
    <n v="0"/>
    <n v="133.30000000000001"/>
    <n v="94"/>
    <n v="22.66"/>
    <n v="247.8"/>
    <n v="126"/>
    <n v="21.06"/>
    <n v="219"/>
    <n v="78"/>
    <n v="9.86"/>
    <x v="61"/>
    <x v="1"/>
    <x v="61"/>
    <x v="5"/>
    <x v="1"/>
  </r>
  <r>
    <s v="DE"/>
    <x v="137"/>
    <s v="area_code_415"/>
    <x v="0"/>
    <x v="1"/>
    <n v="0"/>
    <n v="177.2"/>
    <n v="72"/>
    <n v="30.12"/>
    <n v="248.9"/>
    <n v="105"/>
    <n v="21.16"/>
    <n v="200.8"/>
    <n v="87"/>
    <n v="9.0399999999999991"/>
    <x v="53"/>
    <x v="2"/>
    <x v="53"/>
    <x v="3"/>
    <x v="0"/>
  </r>
  <r>
    <s v="FL"/>
    <x v="64"/>
    <s v="area_code_415"/>
    <x v="0"/>
    <x v="1"/>
    <n v="0"/>
    <n v="184.5"/>
    <n v="103"/>
    <n v="31.37"/>
    <n v="209"/>
    <n v="86"/>
    <n v="17.77"/>
    <n v="169.7"/>
    <n v="70"/>
    <n v="7.64"/>
    <x v="39"/>
    <x v="3"/>
    <x v="39"/>
    <x v="2"/>
    <x v="0"/>
  </r>
  <r>
    <s v="AK"/>
    <x v="35"/>
    <s v="area_code_415"/>
    <x v="0"/>
    <x v="0"/>
    <n v="24"/>
    <n v="176.1"/>
    <n v="109"/>
    <n v="29.94"/>
    <n v="159.4"/>
    <n v="81"/>
    <n v="13.55"/>
    <n v="269.10000000000002"/>
    <n v="94"/>
    <n v="12.11"/>
    <x v="47"/>
    <x v="6"/>
    <x v="47"/>
    <x v="1"/>
    <x v="0"/>
  </r>
  <r>
    <s v="ID"/>
    <x v="169"/>
    <s v="area_code_415"/>
    <x v="0"/>
    <x v="1"/>
    <n v="0"/>
    <n v="204.7"/>
    <n v="108"/>
    <n v="34.799999999999997"/>
    <n v="143.1"/>
    <n v="105"/>
    <n v="12.16"/>
    <n v="165.8"/>
    <n v="84"/>
    <n v="7.46"/>
    <x v="34"/>
    <x v="4"/>
    <x v="34"/>
    <x v="8"/>
    <x v="0"/>
  </r>
  <r>
    <s v="OH"/>
    <x v="90"/>
    <s v="area_code_510"/>
    <x v="0"/>
    <x v="1"/>
    <n v="0"/>
    <n v="143.6"/>
    <n v="80"/>
    <n v="24.41"/>
    <n v="134.30000000000001"/>
    <n v="65"/>
    <n v="11.42"/>
    <n v="215.6"/>
    <n v="84"/>
    <n v="9.6999999999999993"/>
    <x v="121"/>
    <x v="1"/>
    <x v="121"/>
    <x v="2"/>
    <x v="0"/>
  </r>
  <r>
    <s v="NH"/>
    <x v="67"/>
    <s v="area_code_408"/>
    <x v="0"/>
    <x v="1"/>
    <n v="0"/>
    <n v="179.3"/>
    <n v="93"/>
    <n v="30.48"/>
    <n v="188.8"/>
    <n v="65"/>
    <n v="16.05"/>
    <n v="253.2"/>
    <n v="88"/>
    <n v="11.39"/>
    <x v="47"/>
    <x v="1"/>
    <x v="47"/>
    <x v="0"/>
    <x v="0"/>
  </r>
  <r>
    <s v="MA"/>
    <x v="64"/>
    <s v="area_code_415"/>
    <x v="0"/>
    <x v="1"/>
    <n v="0"/>
    <n v="137.30000000000001"/>
    <n v="100"/>
    <n v="23.34"/>
    <n v="212.2"/>
    <n v="129"/>
    <n v="18.04"/>
    <n v="152.69999999999999"/>
    <n v="92"/>
    <n v="6.87"/>
    <x v="26"/>
    <x v="5"/>
    <x v="26"/>
    <x v="0"/>
    <x v="0"/>
  </r>
  <r>
    <s v="SC"/>
    <x v="70"/>
    <s v="area_code_408"/>
    <x v="0"/>
    <x v="1"/>
    <n v="0"/>
    <n v="237.8"/>
    <n v="92"/>
    <n v="40.43"/>
    <n v="223.5"/>
    <n v="155"/>
    <n v="19"/>
    <n v="217.4"/>
    <n v="90"/>
    <n v="9.7799999999999994"/>
    <x v="39"/>
    <x v="3"/>
    <x v="39"/>
    <x v="2"/>
    <x v="0"/>
  </r>
  <r>
    <s v="OR"/>
    <x v="62"/>
    <s v="area_code_510"/>
    <x v="0"/>
    <x v="1"/>
    <n v="0"/>
    <n v="203.7"/>
    <n v="92"/>
    <n v="34.630000000000003"/>
    <n v="216.4"/>
    <n v="97"/>
    <n v="18.39"/>
    <n v="154.19999999999999"/>
    <n v="66"/>
    <n v="6.94"/>
    <x v="98"/>
    <x v="1"/>
    <x v="98"/>
    <x v="2"/>
    <x v="0"/>
  </r>
  <r>
    <s v="OH"/>
    <x v="82"/>
    <s v="area_code_415"/>
    <x v="0"/>
    <x v="0"/>
    <n v="25"/>
    <n v="191.3"/>
    <n v="95"/>
    <n v="32.520000000000003"/>
    <n v="250.7"/>
    <n v="136"/>
    <n v="21.31"/>
    <n v="249.4"/>
    <n v="86"/>
    <n v="11.22"/>
    <x v="148"/>
    <x v="1"/>
    <x v="148"/>
    <x v="2"/>
    <x v="0"/>
  </r>
  <r>
    <s v="NC"/>
    <x v="143"/>
    <s v="area_code_510"/>
    <x v="1"/>
    <x v="1"/>
    <n v="0"/>
    <n v="209.1"/>
    <n v="141"/>
    <n v="35.549999999999997"/>
    <n v="205"/>
    <n v="93"/>
    <n v="17.43"/>
    <n v="119.4"/>
    <n v="111"/>
    <n v="5.37"/>
    <x v="35"/>
    <x v="0"/>
    <x v="35"/>
    <x v="2"/>
    <x v="0"/>
  </r>
  <r>
    <s v="KY"/>
    <x v="103"/>
    <s v="area_code_510"/>
    <x v="0"/>
    <x v="0"/>
    <n v="33"/>
    <n v="88.8"/>
    <n v="104"/>
    <n v="15.1"/>
    <n v="109.6"/>
    <n v="94"/>
    <n v="9.32"/>
    <n v="172.7"/>
    <n v="107"/>
    <n v="7.77"/>
    <x v="5"/>
    <x v="6"/>
    <x v="5"/>
    <x v="3"/>
    <x v="0"/>
  </r>
  <r>
    <s v="ID"/>
    <x v="130"/>
    <s v="area_code_510"/>
    <x v="0"/>
    <x v="1"/>
    <n v="0"/>
    <n v="97.2"/>
    <n v="88"/>
    <n v="16.52"/>
    <n v="155.6"/>
    <n v="85"/>
    <n v="13.23"/>
    <n v="261.60000000000002"/>
    <n v="105"/>
    <n v="11.77"/>
    <x v="70"/>
    <x v="1"/>
    <x v="70"/>
    <x v="1"/>
    <x v="0"/>
  </r>
  <r>
    <s v="WA"/>
    <x v="121"/>
    <s v="area_code_510"/>
    <x v="0"/>
    <x v="1"/>
    <n v="0"/>
    <n v="137.9"/>
    <n v="96"/>
    <n v="23.44"/>
    <n v="192.6"/>
    <n v="63"/>
    <n v="16.37"/>
    <n v="255.7"/>
    <n v="125"/>
    <n v="11.51"/>
    <x v="34"/>
    <x v="1"/>
    <x v="34"/>
    <x v="0"/>
    <x v="0"/>
  </r>
  <r>
    <s v="WV"/>
    <x v="76"/>
    <s v="area_code_510"/>
    <x v="0"/>
    <x v="1"/>
    <n v="0"/>
    <n v="224.3"/>
    <n v="112"/>
    <n v="38.130000000000003"/>
    <n v="185.7"/>
    <n v="103"/>
    <n v="15.78"/>
    <n v="159.4"/>
    <n v="83"/>
    <n v="7.17"/>
    <x v="13"/>
    <x v="8"/>
    <x v="13"/>
    <x v="2"/>
    <x v="0"/>
  </r>
  <r>
    <s v="RI"/>
    <x v="6"/>
    <s v="area_code_408"/>
    <x v="0"/>
    <x v="0"/>
    <n v="13"/>
    <n v="207.6"/>
    <n v="65"/>
    <n v="35.29"/>
    <n v="152.69999999999999"/>
    <n v="77"/>
    <n v="12.98"/>
    <n v="232.8"/>
    <n v="95"/>
    <n v="10.48"/>
    <x v="84"/>
    <x v="0"/>
    <x v="84"/>
    <x v="0"/>
    <x v="0"/>
  </r>
  <r>
    <s v="KS"/>
    <x v="59"/>
    <s v="area_code_510"/>
    <x v="0"/>
    <x v="1"/>
    <n v="0"/>
    <n v="268.10000000000002"/>
    <n v="95"/>
    <n v="45.58"/>
    <n v="120.5"/>
    <n v="126"/>
    <n v="10.24"/>
    <n v="220.8"/>
    <n v="121"/>
    <n v="9.94"/>
    <x v="90"/>
    <x v="3"/>
    <x v="90"/>
    <x v="2"/>
    <x v="0"/>
  </r>
  <r>
    <s v="NV"/>
    <x v="105"/>
    <s v="area_code_415"/>
    <x v="0"/>
    <x v="1"/>
    <n v="0"/>
    <n v="166.7"/>
    <n v="61"/>
    <n v="28.34"/>
    <n v="179.3"/>
    <n v="88"/>
    <n v="15.24"/>
    <n v="242.7"/>
    <n v="131"/>
    <n v="10.92"/>
    <x v="36"/>
    <x v="2"/>
    <x v="36"/>
    <x v="4"/>
    <x v="1"/>
  </r>
  <r>
    <s v="NE"/>
    <x v="72"/>
    <s v="area_code_408"/>
    <x v="0"/>
    <x v="1"/>
    <n v="0"/>
    <n v="267.10000000000002"/>
    <n v="104"/>
    <n v="45.41"/>
    <n v="180.4"/>
    <n v="131"/>
    <n v="15.33"/>
    <n v="230.6"/>
    <n v="106"/>
    <n v="10.38"/>
    <x v="143"/>
    <x v="4"/>
    <x v="143"/>
    <x v="0"/>
    <x v="1"/>
  </r>
  <r>
    <s v="FL"/>
    <x v="110"/>
    <s v="area_code_415"/>
    <x v="0"/>
    <x v="1"/>
    <n v="0"/>
    <n v="181.8"/>
    <n v="108"/>
    <n v="30.91"/>
    <n v="198.6"/>
    <n v="148"/>
    <n v="16.88"/>
    <n v="206.6"/>
    <n v="96"/>
    <n v="9.3000000000000007"/>
    <x v="38"/>
    <x v="0"/>
    <x v="38"/>
    <x v="2"/>
    <x v="0"/>
  </r>
  <r>
    <s v="WY"/>
    <x v="26"/>
    <s v="area_code_415"/>
    <x v="0"/>
    <x v="1"/>
    <n v="0"/>
    <n v="147.1"/>
    <n v="80"/>
    <n v="25.01"/>
    <n v="199.7"/>
    <n v="100"/>
    <n v="16.97"/>
    <n v="160.69999999999999"/>
    <n v="106"/>
    <n v="7.23"/>
    <x v="0"/>
    <x v="2"/>
    <x v="0"/>
    <x v="1"/>
    <x v="0"/>
  </r>
  <r>
    <s v="WA"/>
    <x v="80"/>
    <s v="area_code_415"/>
    <x v="0"/>
    <x v="0"/>
    <n v="29"/>
    <n v="37.700000000000003"/>
    <n v="115"/>
    <n v="6.41"/>
    <n v="144.1"/>
    <n v="111"/>
    <n v="12.25"/>
    <n v="226.6"/>
    <n v="101"/>
    <n v="10.199999999999999"/>
    <x v="140"/>
    <x v="0"/>
    <x v="140"/>
    <x v="0"/>
    <x v="0"/>
  </r>
  <r>
    <s v="CO"/>
    <x v="192"/>
    <s v="area_code_415"/>
    <x v="0"/>
    <x v="1"/>
    <n v="0"/>
    <n v="185"/>
    <n v="88"/>
    <n v="31.45"/>
    <n v="224.9"/>
    <n v="98"/>
    <n v="19.12"/>
    <n v="212.4"/>
    <n v="105"/>
    <n v="9.56"/>
    <x v="37"/>
    <x v="0"/>
    <x v="37"/>
    <x v="2"/>
    <x v="0"/>
  </r>
  <r>
    <s v="WI"/>
    <x v="58"/>
    <s v="area_code_415"/>
    <x v="0"/>
    <x v="1"/>
    <n v="0"/>
    <n v="156.4"/>
    <n v="108"/>
    <n v="26.59"/>
    <n v="171"/>
    <n v="116"/>
    <n v="14.54"/>
    <n v="196.1"/>
    <n v="96"/>
    <n v="8.82"/>
    <x v="53"/>
    <x v="4"/>
    <x v="53"/>
    <x v="2"/>
    <x v="0"/>
  </r>
  <r>
    <s v="RI"/>
    <x v="8"/>
    <s v="area_code_415"/>
    <x v="0"/>
    <x v="0"/>
    <n v="29"/>
    <n v="215.5"/>
    <n v="129"/>
    <n v="36.64"/>
    <n v="161.9"/>
    <n v="77"/>
    <n v="13.76"/>
    <n v="128.30000000000001"/>
    <n v="91"/>
    <n v="5.77"/>
    <x v="82"/>
    <x v="1"/>
    <x v="82"/>
    <x v="2"/>
    <x v="0"/>
  </r>
  <r>
    <s v="MT"/>
    <x v="115"/>
    <s v="area_code_510"/>
    <x v="0"/>
    <x v="1"/>
    <n v="0"/>
    <n v="134.9"/>
    <n v="70"/>
    <n v="22.93"/>
    <n v="211.5"/>
    <n v="74"/>
    <n v="17.98"/>
    <n v="188.5"/>
    <n v="105"/>
    <n v="8.48"/>
    <x v="61"/>
    <x v="3"/>
    <x v="61"/>
    <x v="0"/>
    <x v="0"/>
  </r>
  <r>
    <s v="CO"/>
    <x v="62"/>
    <s v="area_code_415"/>
    <x v="0"/>
    <x v="1"/>
    <n v="0"/>
    <n v="194.8"/>
    <n v="116"/>
    <n v="33.119999999999997"/>
    <n v="209.9"/>
    <n v="93"/>
    <n v="17.84"/>
    <n v="194.1"/>
    <n v="100"/>
    <n v="8.73"/>
    <x v="75"/>
    <x v="0"/>
    <x v="75"/>
    <x v="1"/>
    <x v="0"/>
  </r>
  <r>
    <s v="CT"/>
    <x v="153"/>
    <s v="area_code_408"/>
    <x v="0"/>
    <x v="0"/>
    <n v="20"/>
    <n v="239.1"/>
    <n v="105"/>
    <n v="40.65"/>
    <n v="209.1"/>
    <n v="111"/>
    <n v="17.77"/>
    <n v="268.2"/>
    <n v="130"/>
    <n v="12.07"/>
    <x v="64"/>
    <x v="0"/>
    <x v="64"/>
    <x v="5"/>
    <x v="0"/>
  </r>
  <r>
    <s v="FL"/>
    <x v="48"/>
    <s v="area_code_510"/>
    <x v="0"/>
    <x v="1"/>
    <n v="0"/>
    <n v="92.6"/>
    <n v="85"/>
    <n v="15.74"/>
    <n v="177.6"/>
    <n v="92"/>
    <n v="15.1"/>
    <n v="159.80000000000001"/>
    <n v="72"/>
    <n v="7.19"/>
    <x v="90"/>
    <x v="4"/>
    <x v="90"/>
    <x v="3"/>
    <x v="0"/>
  </r>
  <r>
    <s v="VT"/>
    <x v="3"/>
    <s v="area_code_510"/>
    <x v="0"/>
    <x v="1"/>
    <n v="0"/>
    <n v="209.4"/>
    <n v="133"/>
    <n v="35.6"/>
    <n v="211.5"/>
    <n v="121"/>
    <n v="17.98"/>
    <n v="291.2"/>
    <n v="123"/>
    <n v="13.1"/>
    <x v="68"/>
    <x v="4"/>
    <x v="68"/>
    <x v="0"/>
    <x v="0"/>
  </r>
  <r>
    <s v="OH"/>
    <x v="62"/>
    <s v="area_code_415"/>
    <x v="0"/>
    <x v="1"/>
    <n v="0"/>
    <n v="197.6"/>
    <n v="83"/>
    <n v="33.590000000000003"/>
    <n v="164.5"/>
    <n v="86"/>
    <n v="13.98"/>
    <n v="94"/>
    <n v="98"/>
    <n v="4.2300000000000004"/>
    <x v="69"/>
    <x v="3"/>
    <x v="69"/>
    <x v="0"/>
    <x v="0"/>
  </r>
  <r>
    <s v="RI"/>
    <x v="69"/>
    <s v="area_code_415"/>
    <x v="1"/>
    <x v="1"/>
    <n v="0"/>
    <n v="62.9"/>
    <n v="112"/>
    <n v="10.69"/>
    <n v="202.9"/>
    <n v="111"/>
    <n v="17.25"/>
    <n v="259"/>
    <n v="58"/>
    <n v="11.66"/>
    <x v="56"/>
    <x v="10"/>
    <x v="56"/>
    <x v="0"/>
    <x v="0"/>
  </r>
  <r>
    <s v="FL"/>
    <x v="35"/>
    <s v="area_code_415"/>
    <x v="0"/>
    <x v="0"/>
    <n v="28"/>
    <n v="202.3"/>
    <n v="97"/>
    <n v="34.39"/>
    <n v="69.2"/>
    <n v="84"/>
    <n v="5.88"/>
    <n v="257.60000000000002"/>
    <n v="64"/>
    <n v="11.59"/>
    <x v="92"/>
    <x v="0"/>
    <x v="92"/>
    <x v="0"/>
    <x v="0"/>
  </r>
  <r>
    <s v="MD"/>
    <x v="123"/>
    <s v="area_code_415"/>
    <x v="0"/>
    <x v="1"/>
    <n v="0"/>
    <n v="136.1"/>
    <n v="116"/>
    <n v="23.14"/>
    <n v="181.4"/>
    <n v="93"/>
    <n v="15.42"/>
    <n v="131.4"/>
    <n v="108"/>
    <n v="5.91"/>
    <x v="61"/>
    <x v="4"/>
    <x v="61"/>
    <x v="1"/>
    <x v="0"/>
  </r>
  <r>
    <s v="WY"/>
    <x v="60"/>
    <s v="area_code_408"/>
    <x v="0"/>
    <x v="1"/>
    <n v="0"/>
    <n v="207"/>
    <n v="109"/>
    <n v="35.19"/>
    <n v="167.4"/>
    <n v="80"/>
    <n v="14.23"/>
    <n v="238.2"/>
    <n v="117"/>
    <n v="10.72"/>
    <x v="149"/>
    <x v="3"/>
    <x v="149"/>
    <x v="0"/>
    <x v="0"/>
  </r>
  <r>
    <s v="FL"/>
    <x v="13"/>
    <s v="area_code_408"/>
    <x v="0"/>
    <x v="0"/>
    <n v="33"/>
    <n v="207.9"/>
    <n v="95"/>
    <n v="35.340000000000003"/>
    <n v="233.5"/>
    <n v="88"/>
    <n v="19.850000000000001"/>
    <n v="221.3"/>
    <n v="92"/>
    <n v="9.9600000000000009"/>
    <x v="88"/>
    <x v="0"/>
    <x v="88"/>
    <x v="0"/>
    <x v="0"/>
  </r>
  <r>
    <s v="TN"/>
    <x v="62"/>
    <s v="area_code_415"/>
    <x v="1"/>
    <x v="1"/>
    <n v="0"/>
    <n v="276.5"/>
    <n v="122"/>
    <n v="47.01"/>
    <n v="195.6"/>
    <n v="79"/>
    <n v="16.63"/>
    <n v="210.3"/>
    <n v="78"/>
    <n v="9.4600000000000009"/>
    <x v="68"/>
    <x v="0"/>
    <x v="68"/>
    <x v="0"/>
    <x v="1"/>
  </r>
  <r>
    <s v="NC"/>
    <x v="202"/>
    <s v="area_code_415"/>
    <x v="0"/>
    <x v="0"/>
    <n v="31"/>
    <n v="313.8"/>
    <n v="87"/>
    <n v="53.35"/>
    <n v="147.69999999999999"/>
    <n v="103"/>
    <n v="12.55"/>
    <n v="192.7"/>
    <n v="97"/>
    <n v="8.67"/>
    <x v="3"/>
    <x v="2"/>
    <x v="3"/>
    <x v="3"/>
    <x v="0"/>
  </r>
  <r>
    <s v="IN"/>
    <x v="105"/>
    <s v="area_code_415"/>
    <x v="1"/>
    <x v="0"/>
    <n v="25"/>
    <n v="288.5"/>
    <n v="114"/>
    <n v="49.05"/>
    <n v="203.4"/>
    <n v="74"/>
    <n v="17.29"/>
    <n v="228.4"/>
    <n v="117"/>
    <n v="10.28"/>
    <x v="14"/>
    <x v="1"/>
    <x v="14"/>
    <x v="0"/>
    <x v="0"/>
  </r>
  <r>
    <s v="IA"/>
    <x v="108"/>
    <s v="area_code_408"/>
    <x v="0"/>
    <x v="1"/>
    <n v="0"/>
    <n v="210.9"/>
    <n v="85"/>
    <n v="35.85"/>
    <n v="329.3"/>
    <n v="69"/>
    <n v="27.99"/>
    <n v="127.1"/>
    <n v="78"/>
    <n v="5.72"/>
    <x v="27"/>
    <x v="1"/>
    <x v="27"/>
    <x v="4"/>
    <x v="0"/>
  </r>
  <r>
    <s v="WV"/>
    <x v="185"/>
    <s v="area_code_408"/>
    <x v="0"/>
    <x v="0"/>
    <n v="35"/>
    <n v="64.900000000000006"/>
    <n v="76"/>
    <n v="11.03"/>
    <n v="184.1"/>
    <n v="91"/>
    <n v="15.65"/>
    <n v="151.6"/>
    <n v="75"/>
    <n v="6.82"/>
    <x v="28"/>
    <x v="8"/>
    <x v="28"/>
    <x v="0"/>
    <x v="0"/>
  </r>
  <r>
    <s v="UT"/>
    <x v="89"/>
    <s v="area_code_510"/>
    <x v="0"/>
    <x v="0"/>
    <n v="26"/>
    <n v="243.5"/>
    <n v="137"/>
    <n v="41.4"/>
    <n v="236.8"/>
    <n v="108"/>
    <n v="20.13"/>
    <n v="173.3"/>
    <n v="149"/>
    <n v="7.8"/>
    <x v="62"/>
    <x v="6"/>
    <x v="62"/>
    <x v="0"/>
    <x v="0"/>
  </r>
  <r>
    <s v="GA"/>
    <x v="149"/>
    <s v="area_code_408"/>
    <x v="0"/>
    <x v="1"/>
    <n v="0"/>
    <n v="197"/>
    <n v="97"/>
    <n v="33.49"/>
    <n v="203.7"/>
    <n v="107"/>
    <n v="17.309999999999999"/>
    <n v="202"/>
    <n v="105"/>
    <n v="9.09"/>
    <x v="6"/>
    <x v="0"/>
    <x v="6"/>
    <x v="3"/>
    <x v="0"/>
  </r>
  <r>
    <s v="AK"/>
    <x v="49"/>
    <s v="area_code_415"/>
    <x v="0"/>
    <x v="0"/>
    <n v="31"/>
    <n v="278"/>
    <n v="88"/>
    <n v="47.26"/>
    <n v="253.2"/>
    <n v="65"/>
    <n v="21.52"/>
    <n v="223.2"/>
    <n v="114"/>
    <n v="10.039999999999999"/>
    <x v="6"/>
    <x v="4"/>
    <x v="6"/>
    <x v="1"/>
    <x v="0"/>
  </r>
  <r>
    <s v="MS"/>
    <x v="186"/>
    <s v="area_code_510"/>
    <x v="0"/>
    <x v="1"/>
    <n v="0"/>
    <n v="313.2"/>
    <n v="103"/>
    <n v="53.24"/>
    <n v="216.3"/>
    <n v="151"/>
    <n v="18.39"/>
    <n v="218.4"/>
    <n v="106"/>
    <n v="9.83"/>
    <x v="75"/>
    <x v="4"/>
    <x v="75"/>
    <x v="2"/>
    <x v="1"/>
  </r>
  <r>
    <s v="AR"/>
    <x v="112"/>
    <s v="area_code_408"/>
    <x v="0"/>
    <x v="0"/>
    <n v="16"/>
    <n v="145.69999999999999"/>
    <n v="88"/>
    <n v="24.77"/>
    <n v="191"/>
    <n v="129"/>
    <n v="16.239999999999998"/>
    <n v="215.5"/>
    <n v="82"/>
    <n v="9.6999999999999993"/>
    <x v="61"/>
    <x v="2"/>
    <x v="61"/>
    <x v="1"/>
    <x v="0"/>
  </r>
  <r>
    <s v="AK"/>
    <x v="51"/>
    <s v="area_code_415"/>
    <x v="0"/>
    <x v="0"/>
    <n v="37"/>
    <n v="75.8"/>
    <n v="102"/>
    <n v="12.89"/>
    <n v="173.6"/>
    <n v="147"/>
    <n v="14.76"/>
    <n v="162.6"/>
    <n v="96"/>
    <n v="7.32"/>
    <x v="45"/>
    <x v="15"/>
    <x v="45"/>
    <x v="1"/>
    <x v="0"/>
  </r>
  <r>
    <s v="ME"/>
    <x v="203"/>
    <s v="area_code_415"/>
    <x v="0"/>
    <x v="1"/>
    <n v="0"/>
    <n v="132"/>
    <n v="95"/>
    <n v="22.44"/>
    <n v="231.2"/>
    <n v="74"/>
    <n v="19.649999999999999"/>
    <n v="313.39999999999998"/>
    <n v="108"/>
    <n v="14.1"/>
    <x v="6"/>
    <x v="11"/>
    <x v="6"/>
    <x v="0"/>
    <x v="0"/>
  </r>
  <r>
    <s v="WV"/>
    <x v="9"/>
    <s v="area_code_510"/>
    <x v="0"/>
    <x v="1"/>
    <n v="0"/>
    <n v="124"/>
    <n v="102"/>
    <n v="21.08"/>
    <n v="262.10000000000002"/>
    <n v="101"/>
    <n v="22.28"/>
    <n v="268.2"/>
    <n v="98"/>
    <n v="12.07"/>
    <x v="50"/>
    <x v="5"/>
    <x v="50"/>
    <x v="2"/>
    <x v="0"/>
  </r>
  <r>
    <s v="CT"/>
    <x v="119"/>
    <s v="area_code_415"/>
    <x v="0"/>
    <x v="1"/>
    <n v="0"/>
    <n v="171.9"/>
    <n v="98"/>
    <n v="29.22"/>
    <n v="159"/>
    <n v="127"/>
    <n v="13.52"/>
    <n v="139.5"/>
    <n v="101"/>
    <n v="6.28"/>
    <x v="98"/>
    <x v="0"/>
    <x v="98"/>
    <x v="2"/>
    <x v="0"/>
  </r>
  <r>
    <s v="GA"/>
    <x v="9"/>
    <s v="area_code_510"/>
    <x v="0"/>
    <x v="0"/>
    <n v="31"/>
    <n v="249.4"/>
    <n v="70"/>
    <n v="42.4"/>
    <n v="209.5"/>
    <n v="59"/>
    <n v="17.809999999999999"/>
    <n v="180.6"/>
    <n v="75"/>
    <n v="8.1300000000000008"/>
    <x v="79"/>
    <x v="5"/>
    <x v="79"/>
    <x v="4"/>
    <x v="0"/>
  </r>
  <r>
    <s v="NV"/>
    <x v="102"/>
    <s v="area_code_415"/>
    <x v="1"/>
    <x v="1"/>
    <n v="0"/>
    <n v="228.4"/>
    <n v="100"/>
    <n v="38.83"/>
    <n v="145.1"/>
    <n v="108"/>
    <n v="12.33"/>
    <n v="245.3"/>
    <n v="140"/>
    <n v="11.04"/>
    <x v="18"/>
    <x v="2"/>
    <x v="18"/>
    <x v="1"/>
    <x v="0"/>
  </r>
  <r>
    <s v="VT"/>
    <x v="68"/>
    <s v="area_code_510"/>
    <x v="0"/>
    <x v="1"/>
    <n v="0"/>
    <n v="168.6"/>
    <n v="71"/>
    <n v="28.66"/>
    <n v="205.1"/>
    <n v="48"/>
    <n v="17.43"/>
    <n v="175.8"/>
    <n v="88"/>
    <n v="7.91"/>
    <x v="96"/>
    <x v="5"/>
    <x v="96"/>
    <x v="3"/>
    <x v="0"/>
  </r>
  <r>
    <s v="DC"/>
    <x v="179"/>
    <s v="area_code_415"/>
    <x v="0"/>
    <x v="1"/>
    <n v="0"/>
    <n v="123.7"/>
    <n v="138"/>
    <n v="21.03"/>
    <n v="248.5"/>
    <n v="105"/>
    <n v="21.12"/>
    <n v="269.60000000000002"/>
    <n v="78"/>
    <n v="12.13"/>
    <x v="64"/>
    <x v="4"/>
    <x v="64"/>
    <x v="1"/>
    <x v="0"/>
  </r>
  <r>
    <s v="TN"/>
    <x v="90"/>
    <s v="area_code_415"/>
    <x v="0"/>
    <x v="1"/>
    <n v="0"/>
    <n v="178.7"/>
    <n v="61"/>
    <n v="30.38"/>
    <n v="252.3"/>
    <n v="84"/>
    <n v="21.45"/>
    <n v="255.7"/>
    <n v="76"/>
    <n v="11.51"/>
    <x v="80"/>
    <x v="4"/>
    <x v="80"/>
    <x v="0"/>
    <x v="0"/>
  </r>
  <r>
    <s v="OR"/>
    <x v="62"/>
    <s v="area_code_415"/>
    <x v="0"/>
    <x v="1"/>
    <n v="0"/>
    <n v="113.2"/>
    <n v="86"/>
    <n v="19.239999999999998"/>
    <n v="185.5"/>
    <n v="97"/>
    <n v="15.77"/>
    <n v="237.3"/>
    <n v="145"/>
    <n v="10.68"/>
    <x v="17"/>
    <x v="1"/>
    <x v="17"/>
    <x v="0"/>
    <x v="0"/>
  </r>
  <r>
    <s v="MS"/>
    <x v="45"/>
    <s v="area_code_415"/>
    <x v="0"/>
    <x v="0"/>
    <n v="25"/>
    <n v="142.4"/>
    <n v="106"/>
    <n v="24.21"/>
    <n v="313.7"/>
    <n v="109"/>
    <n v="26.66"/>
    <n v="126.6"/>
    <n v="117"/>
    <n v="5.7"/>
    <x v="83"/>
    <x v="3"/>
    <x v="83"/>
    <x v="2"/>
    <x v="0"/>
  </r>
  <r>
    <s v="CO"/>
    <x v="141"/>
    <s v="area_code_415"/>
    <x v="0"/>
    <x v="1"/>
    <n v="0"/>
    <n v="149.69999999999999"/>
    <n v="71"/>
    <n v="25.45"/>
    <n v="212.5"/>
    <n v="97"/>
    <n v="18.059999999999999"/>
    <n v="245.9"/>
    <n v="67"/>
    <n v="11.07"/>
    <x v="44"/>
    <x v="4"/>
    <x v="44"/>
    <x v="3"/>
    <x v="0"/>
  </r>
  <r>
    <s v="AR"/>
    <x v="28"/>
    <s v="area_code_415"/>
    <x v="0"/>
    <x v="1"/>
    <n v="0"/>
    <n v="227.1"/>
    <n v="116"/>
    <n v="38.61"/>
    <n v="120.5"/>
    <n v="103"/>
    <n v="10.24"/>
    <n v="117"/>
    <n v="102"/>
    <n v="5.27"/>
    <x v="86"/>
    <x v="4"/>
    <x v="86"/>
    <x v="5"/>
    <x v="1"/>
  </r>
  <r>
    <s v="PA"/>
    <x v="113"/>
    <s v="area_code_415"/>
    <x v="0"/>
    <x v="1"/>
    <n v="0"/>
    <n v="155.30000000000001"/>
    <n v="75"/>
    <n v="26.4"/>
    <n v="169.9"/>
    <n v="87"/>
    <n v="14.44"/>
    <n v="207"/>
    <n v="133"/>
    <n v="9.32"/>
    <x v="44"/>
    <x v="1"/>
    <x v="44"/>
    <x v="2"/>
    <x v="0"/>
  </r>
  <r>
    <s v="MN"/>
    <x v="57"/>
    <s v="area_code_408"/>
    <x v="0"/>
    <x v="1"/>
    <n v="0"/>
    <n v="156.4"/>
    <n v="105"/>
    <n v="26.59"/>
    <n v="185.5"/>
    <n v="98"/>
    <n v="15.77"/>
    <n v="226.7"/>
    <n v="96"/>
    <n v="10.199999999999999"/>
    <x v="23"/>
    <x v="0"/>
    <x v="23"/>
    <x v="0"/>
    <x v="0"/>
  </r>
  <r>
    <s v="NM"/>
    <x v="98"/>
    <s v="area_code_415"/>
    <x v="0"/>
    <x v="0"/>
    <n v="42"/>
    <n v="148.69999999999999"/>
    <n v="105"/>
    <n v="25.28"/>
    <n v="167.3"/>
    <n v="105"/>
    <n v="14.22"/>
    <n v="270.60000000000002"/>
    <n v="105"/>
    <n v="12.18"/>
    <x v="91"/>
    <x v="2"/>
    <x v="91"/>
    <x v="1"/>
    <x v="0"/>
  </r>
  <r>
    <s v="UT"/>
    <x v="167"/>
    <s v="area_code_510"/>
    <x v="0"/>
    <x v="1"/>
    <n v="0"/>
    <n v="271.7"/>
    <n v="112"/>
    <n v="46.19"/>
    <n v="155.1"/>
    <n v="96"/>
    <n v="13.18"/>
    <n v="199.5"/>
    <n v="97"/>
    <n v="8.98"/>
    <x v="2"/>
    <x v="4"/>
    <x v="2"/>
    <x v="3"/>
    <x v="0"/>
  </r>
  <r>
    <s v="MS"/>
    <x v="28"/>
    <s v="area_code_415"/>
    <x v="1"/>
    <x v="0"/>
    <n v="23"/>
    <n v="245.5"/>
    <n v="54"/>
    <n v="41.74"/>
    <n v="292.7"/>
    <n v="83"/>
    <n v="24.88"/>
    <n v="184"/>
    <n v="90"/>
    <n v="8.2799999999999994"/>
    <x v="81"/>
    <x v="2"/>
    <x v="81"/>
    <x v="0"/>
    <x v="0"/>
  </r>
  <r>
    <s v="NV"/>
    <x v="48"/>
    <s v="area_code_510"/>
    <x v="0"/>
    <x v="1"/>
    <n v="0"/>
    <n v="245.3"/>
    <n v="108"/>
    <n v="41.7"/>
    <n v="259.89999999999998"/>
    <n v="140"/>
    <n v="22.09"/>
    <n v="204.3"/>
    <n v="115"/>
    <n v="9.19"/>
    <x v="85"/>
    <x v="5"/>
    <x v="85"/>
    <x v="3"/>
    <x v="1"/>
  </r>
  <r>
    <s v="OR"/>
    <x v="155"/>
    <s v="area_code_408"/>
    <x v="0"/>
    <x v="1"/>
    <n v="0"/>
    <n v="196.1"/>
    <n v="87"/>
    <n v="33.340000000000003"/>
    <n v="236.8"/>
    <n v="66"/>
    <n v="20.13"/>
    <n v="182.3"/>
    <n v="75"/>
    <n v="8.1999999999999993"/>
    <x v="78"/>
    <x v="8"/>
    <x v="78"/>
    <x v="1"/>
    <x v="0"/>
  </r>
  <r>
    <s v="VA"/>
    <x v="4"/>
    <s v="area_code_415"/>
    <x v="0"/>
    <x v="1"/>
    <n v="0"/>
    <n v="134.1"/>
    <n v="112"/>
    <n v="22.8"/>
    <n v="195.1"/>
    <n v="104"/>
    <n v="16.579999999999998"/>
    <n v="159.6"/>
    <n v="139"/>
    <n v="7.18"/>
    <x v="26"/>
    <x v="5"/>
    <x v="26"/>
    <x v="2"/>
    <x v="0"/>
  </r>
  <r>
    <s v="NJ"/>
    <x v="33"/>
    <s v="area_code_510"/>
    <x v="1"/>
    <x v="0"/>
    <n v="31"/>
    <n v="225"/>
    <n v="78"/>
    <n v="38.25"/>
    <n v="191.3"/>
    <n v="79"/>
    <n v="16.260000000000002"/>
    <n v="226.7"/>
    <n v="79"/>
    <n v="10.199999999999999"/>
    <x v="9"/>
    <x v="0"/>
    <x v="9"/>
    <x v="0"/>
    <x v="0"/>
  </r>
  <r>
    <s v="WV"/>
    <x v="33"/>
    <s v="area_code_510"/>
    <x v="0"/>
    <x v="1"/>
    <n v="0"/>
    <n v="189.7"/>
    <n v="100"/>
    <n v="32.25"/>
    <n v="115.9"/>
    <n v="133"/>
    <n v="9.85"/>
    <n v="220.6"/>
    <n v="115"/>
    <n v="9.93"/>
    <x v="33"/>
    <x v="4"/>
    <x v="33"/>
    <x v="1"/>
    <x v="0"/>
  </r>
  <r>
    <s v="OR"/>
    <x v="151"/>
    <s v="area_code_415"/>
    <x v="0"/>
    <x v="1"/>
    <n v="0"/>
    <n v="142.9"/>
    <n v="96"/>
    <n v="24.29"/>
    <n v="177.9"/>
    <n v="96"/>
    <n v="15.12"/>
    <n v="113.3"/>
    <n v="117"/>
    <n v="5.0999999999999996"/>
    <x v="2"/>
    <x v="4"/>
    <x v="2"/>
    <x v="1"/>
    <x v="0"/>
  </r>
  <r>
    <s v="KY"/>
    <x v="143"/>
    <s v="area_code_415"/>
    <x v="0"/>
    <x v="1"/>
    <n v="0"/>
    <n v="175.6"/>
    <n v="80"/>
    <n v="29.85"/>
    <n v="238"/>
    <n v="94"/>
    <n v="20.23"/>
    <n v="198.4"/>
    <n v="103"/>
    <n v="8.93"/>
    <x v="39"/>
    <x v="3"/>
    <x v="39"/>
    <x v="0"/>
    <x v="0"/>
  </r>
  <r>
    <s v="MO"/>
    <x v="27"/>
    <s v="area_code_415"/>
    <x v="0"/>
    <x v="1"/>
    <n v="0"/>
    <n v="92.4"/>
    <n v="109"/>
    <n v="15.71"/>
    <n v="219"/>
    <n v="115"/>
    <n v="18.62"/>
    <n v="212.6"/>
    <n v="80"/>
    <n v="9.57"/>
    <x v="89"/>
    <x v="4"/>
    <x v="89"/>
    <x v="2"/>
    <x v="0"/>
  </r>
  <r>
    <s v="FL"/>
    <x v="96"/>
    <s v="area_code_510"/>
    <x v="0"/>
    <x v="1"/>
    <n v="0"/>
    <n v="159.6"/>
    <n v="94"/>
    <n v="27.13"/>
    <n v="276.8"/>
    <n v="118"/>
    <n v="23.53"/>
    <n v="223.5"/>
    <n v="65"/>
    <n v="10.06"/>
    <x v="82"/>
    <x v="0"/>
    <x v="82"/>
    <x v="1"/>
    <x v="0"/>
  </r>
  <r>
    <s v="WV"/>
    <x v="131"/>
    <s v="area_code_415"/>
    <x v="0"/>
    <x v="1"/>
    <n v="0"/>
    <n v="159.1"/>
    <n v="100"/>
    <n v="27.05"/>
    <n v="202.5"/>
    <n v="90"/>
    <n v="17.21"/>
    <n v="233.1"/>
    <n v="96"/>
    <n v="10.49"/>
    <x v="73"/>
    <x v="3"/>
    <x v="73"/>
    <x v="2"/>
    <x v="0"/>
  </r>
  <r>
    <s v="DE"/>
    <x v="63"/>
    <s v="area_code_415"/>
    <x v="0"/>
    <x v="1"/>
    <n v="0"/>
    <n v="254.4"/>
    <n v="120"/>
    <n v="43.25"/>
    <n v="159.30000000000001"/>
    <n v="92"/>
    <n v="13.54"/>
    <n v="264.39999999999998"/>
    <n v="94"/>
    <n v="11.9"/>
    <x v="120"/>
    <x v="1"/>
    <x v="120"/>
    <x v="0"/>
    <x v="0"/>
  </r>
  <r>
    <s v="MI"/>
    <x v="72"/>
    <s v="area_code_415"/>
    <x v="0"/>
    <x v="0"/>
    <n v="33"/>
    <n v="270.7"/>
    <n v="53"/>
    <n v="46.02"/>
    <n v="200.7"/>
    <n v="116"/>
    <n v="17.059999999999999"/>
    <n v="201.7"/>
    <n v="102"/>
    <n v="9.08"/>
    <x v="54"/>
    <x v="0"/>
    <x v="54"/>
    <x v="3"/>
    <x v="0"/>
  </r>
  <r>
    <s v="IL"/>
    <x v="144"/>
    <s v="area_code_415"/>
    <x v="0"/>
    <x v="1"/>
    <n v="0"/>
    <n v="207"/>
    <n v="112"/>
    <n v="35.19"/>
    <n v="173.8"/>
    <n v="96"/>
    <n v="14.77"/>
    <n v="178.4"/>
    <n v="61"/>
    <n v="8.0299999999999994"/>
    <x v="47"/>
    <x v="0"/>
    <x v="47"/>
    <x v="0"/>
    <x v="0"/>
  </r>
  <r>
    <s v="UT"/>
    <x v="204"/>
    <s v="area_code_510"/>
    <x v="1"/>
    <x v="1"/>
    <n v="0"/>
    <n v="145.30000000000001"/>
    <n v="89"/>
    <n v="24.7"/>
    <n v="303.8"/>
    <n v="93"/>
    <n v="25.82"/>
    <n v="206.1"/>
    <n v="82"/>
    <n v="9.27"/>
    <x v="56"/>
    <x v="4"/>
    <x v="56"/>
    <x v="1"/>
    <x v="0"/>
  </r>
  <r>
    <s v="IL"/>
    <x v="88"/>
    <s v="area_code_408"/>
    <x v="0"/>
    <x v="0"/>
    <n v="25"/>
    <n v="230.7"/>
    <n v="102"/>
    <n v="39.22"/>
    <n v="233.8"/>
    <n v="109"/>
    <n v="19.87"/>
    <n v="215.8"/>
    <n v="90"/>
    <n v="9.7100000000000009"/>
    <x v="88"/>
    <x v="5"/>
    <x v="88"/>
    <x v="3"/>
    <x v="0"/>
  </r>
  <r>
    <s v="WA"/>
    <x v="7"/>
    <s v="area_code_415"/>
    <x v="0"/>
    <x v="1"/>
    <n v="0"/>
    <n v="151.5"/>
    <n v="104"/>
    <n v="25.76"/>
    <n v="242.2"/>
    <n v="114"/>
    <n v="20.59"/>
    <n v="304.2"/>
    <n v="109"/>
    <n v="13.69"/>
    <x v="81"/>
    <x v="5"/>
    <x v="81"/>
    <x v="0"/>
    <x v="0"/>
  </r>
  <r>
    <s v="NM"/>
    <x v="80"/>
    <s v="area_code_408"/>
    <x v="0"/>
    <x v="1"/>
    <n v="0"/>
    <n v="146.1"/>
    <n v="57"/>
    <n v="24.84"/>
    <n v="196.2"/>
    <n v="97"/>
    <n v="16.68"/>
    <n v="310.10000000000002"/>
    <n v="110"/>
    <n v="13.95"/>
    <x v="29"/>
    <x v="0"/>
    <x v="29"/>
    <x v="1"/>
    <x v="0"/>
  </r>
  <r>
    <s v="MD"/>
    <x v="31"/>
    <s v="area_code_415"/>
    <x v="0"/>
    <x v="1"/>
    <n v="0"/>
    <n v="256"/>
    <n v="111"/>
    <n v="43.52"/>
    <n v="187.4"/>
    <n v="61"/>
    <n v="15.93"/>
    <n v="119.1"/>
    <n v="81"/>
    <n v="5.36"/>
    <x v="73"/>
    <x v="4"/>
    <x v="73"/>
    <x v="3"/>
    <x v="0"/>
  </r>
  <r>
    <s v="MT"/>
    <x v="171"/>
    <s v="area_code_415"/>
    <x v="0"/>
    <x v="1"/>
    <n v="0"/>
    <n v="150.69999999999999"/>
    <n v="52"/>
    <n v="25.62"/>
    <n v="246.7"/>
    <n v="96"/>
    <n v="20.97"/>
    <n v="103.8"/>
    <n v="118"/>
    <n v="4.67"/>
    <x v="99"/>
    <x v="4"/>
    <x v="99"/>
    <x v="2"/>
    <x v="0"/>
  </r>
  <r>
    <s v="CT"/>
    <x v="29"/>
    <s v="area_code_415"/>
    <x v="1"/>
    <x v="1"/>
    <n v="0"/>
    <n v="186"/>
    <n v="107"/>
    <n v="31.62"/>
    <n v="66"/>
    <n v="94"/>
    <n v="5.61"/>
    <n v="213.1"/>
    <n v="105"/>
    <n v="9.59"/>
    <x v="89"/>
    <x v="4"/>
    <x v="89"/>
    <x v="0"/>
    <x v="0"/>
  </r>
  <r>
    <s v="AL"/>
    <x v="96"/>
    <s v="area_code_415"/>
    <x v="0"/>
    <x v="1"/>
    <n v="0"/>
    <n v="212.9"/>
    <n v="110"/>
    <n v="36.19"/>
    <n v="187"/>
    <n v="69"/>
    <n v="15.9"/>
    <n v="128.1"/>
    <n v="71"/>
    <n v="5.76"/>
    <x v="21"/>
    <x v="0"/>
    <x v="21"/>
    <x v="3"/>
    <x v="0"/>
  </r>
  <r>
    <s v="MO"/>
    <x v="82"/>
    <s v="area_code_415"/>
    <x v="0"/>
    <x v="0"/>
    <n v="30"/>
    <n v="272.5"/>
    <n v="105"/>
    <n v="46.33"/>
    <n v="253"/>
    <n v="83"/>
    <n v="21.51"/>
    <n v="180.8"/>
    <n v="123"/>
    <n v="8.14"/>
    <x v="6"/>
    <x v="3"/>
    <x v="6"/>
    <x v="3"/>
    <x v="0"/>
  </r>
  <r>
    <s v="ND"/>
    <x v="77"/>
    <s v="area_code_415"/>
    <x v="0"/>
    <x v="1"/>
    <n v="0"/>
    <n v="135.1"/>
    <n v="109"/>
    <n v="22.97"/>
    <n v="205.2"/>
    <n v="99"/>
    <n v="17.440000000000001"/>
    <n v="166.3"/>
    <n v="119"/>
    <n v="7.48"/>
    <x v="50"/>
    <x v="4"/>
    <x v="50"/>
    <x v="0"/>
    <x v="0"/>
  </r>
  <r>
    <s v="AR"/>
    <x v="160"/>
    <s v="area_code_408"/>
    <x v="0"/>
    <x v="1"/>
    <n v="0"/>
    <n v="154.6"/>
    <n v="56"/>
    <n v="26.28"/>
    <n v="263"/>
    <n v="84"/>
    <n v="22.36"/>
    <n v="367.7"/>
    <n v="89"/>
    <n v="16.55"/>
    <x v="121"/>
    <x v="5"/>
    <x v="121"/>
    <x v="0"/>
    <x v="0"/>
  </r>
  <r>
    <s v="GA"/>
    <x v="143"/>
    <s v="area_code_510"/>
    <x v="0"/>
    <x v="0"/>
    <n v="35"/>
    <n v="230.5"/>
    <n v="116"/>
    <n v="39.19"/>
    <n v="265.8"/>
    <n v="130"/>
    <n v="22.59"/>
    <n v="269.7"/>
    <n v="69"/>
    <n v="12.14"/>
    <x v="15"/>
    <x v="3"/>
    <x v="15"/>
    <x v="5"/>
    <x v="0"/>
  </r>
  <r>
    <s v="FL"/>
    <x v="156"/>
    <s v="area_code_510"/>
    <x v="0"/>
    <x v="1"/>
    <n v="0"/>
    <n v="165.4"/>
    <n v="84"/>
    <n v="28.12"/>
    <n v="203.7"/>
    <n v="107"/>
    <n v="17.309999999999999"/>
    <n v="201.7"/>
    <n v="65"/>
    <n v="9.08"/>
    <x v="45"/>
    <x v="8"/>
    <x v="45"/>
    <x v="0"/>
    <x v="0"/>
  </r>
  <r>
    <s v="LA"/>
    <x v="146"/>
    <s v="area_code_510"/>
    <x v="0"/>
    <x v="1"/>
    <n v="0"/>
    <n v="143.30000000000001"/>
    <n v="120"/>
    <n v="24.36"/>
    <n v="230.7"/>
    <n v="111"/>
    <n v="19.61"/>
    <n v="214.3"/>
    <n v="91"/>
    <n v="9.64"/>
    <x v="35"/>
    <x v="5"/>
    <x v="35"/>
    <x v="4"/>
    <x v="1"/>
  </r>
  <r>
    <s v="UT"/>
    <x v="77"/>
    <s v="area_code_415"/>
    <x v="0"/>
    <x v="1"/>
    <n v="0"/>
    <n v="271.10000000000002"/>
    <n v="108"/>
    <n v="46.09"/>
    <n v="237"/>
    <n v="122"/>
    <n v="20.149999999999999"/>
    <n v="239.9"/>
    <n v="122"/>
    <n v="10.8"/>
    <x v="52"/>
    <x v="1"/>
    <x v="52"/>
    <x v="2"/>
    <x v="1"/>
  </r>
  <r>
    <s v="AZ"/>
    <x v="146"/>
    <s v="area_code_415"/>
    <x v="0"/>
    <x v="1"/>
    <n v="0"/>
    <n v="253.5"/>
    <n v="104"/>
    <n v="43.1"/>
    <n v="117.9"/>
    <n v="123"/>
    <n v="10.02"/>
    <n v="248.5"/>
    <n v="104"/>
    <n v="11.18"/>
    <x v="100"/>
    <x v="5"/>
    <x v="100"/>
    <x v="1"/>
    <x v="0"/>
  </r>
  <r>
    <s v="NY"/>
    <x v="55"/>
    <s v="area_code_415"/>
    <x v="0"/>
    <x v="1"/>
    <n v="0"/>
    <n v="167.1"/>
    <n v="77"/>
    <n v="28.41"/>
    <n v="131.80000000000001"/>
    <n v="79"/>
    <n v="11.2"/>
    <n v="187.4"/>
    <n v="98"/>
    <n v="8.43"/>
    <x v="27"/>
    <x v="8"/>
    <x v="27"/>
    <x v="8"/>
    <x v="1"/>
  </r>
  <r>
    <s v="IN"/>
    <x v="155"/>
    <s v="area_code_510"/>
    <x v="0"/>
    <x v="1"/>
    <n v="0"/>
    <n v="135.4"/>
    <n v="101"/>
    <n v="23.02"/>
    <n v="238.1"/>
    <n v="124"/>
    <n v="20.239999999999998"/>
    <n v="195.6"/>
    <n v="102"/>
    <n v="8.8000000000000007"/>
    <x v="15"/>
    <x v="5"/>
    <x v="15"/>
    <x v="0"/>
    <x v="0"/>
  </r>
  <r>
    <s v="FL"/>
    <x v="78"/>
    <s v="area_code_415"/>
    <x v="0"/>
    <x v="1"/>
    <n v="0"/>
    <n v="158.69999999999999"/>
    <n v="90"/>
    <n v="26.98"/>
    <n v="198.4"/>
    <n v="117"/>
    <n v="16.86"/>
    <n v="181.1"/>
    <n v="76"/>
    <n v="8.15"/>
    <x v="26"/>
    <x v="4"/>
    <x v="26"/>
    <x v="0"/>
    <x v="0"/>
  </r>
  <r>
    <s v="NM"/>
    <x v="128"/>
    <s v="area_code_510"/>
    <x v="0"/>
    <x v="1"/>
    <n v="0"/>
    <n v="144.80000000000001"/>
    <n v="84"/>
    <n v="24.62"/>
    <n v="164.9"/>
    <n v="141"/>
    <n v="14.02"/>
    <n v="231.5"/>
    <n v="75"/>
    <n v="10.42"/>
    <x v="45"/>
    <x v="4"/>
    <x v="45"/>
    <x v="2"/>
    <x v="0"/>
  </r>
  <r>
    <s v="AL"/>
    <x v="115"/>
    <s v="area_code_415"/>
    <x v="0"/>
    <x v="1"/>
    <n v="0"/>
    <n v="98.8"/>
    <n v="97"/>
    <n v="16.8"/>
    <n v="146.9"/>
    <n v="68"/>
    <n v="12.49"/>
    <n v="190.7"/>
    <n v="105"/>
    <n v="8.58"/>
    <x v="13"/>
    <x v="4"/>
    <x v="13"/>
    <x v="3"/>
    <x v="0"/>
  </r>
  <r>
    <s v="MN"/>
    <x v="146"/>
    <s v="area_code_510"/>
    <x v="1"/>
    <x v="1"/>
    <n v="0"/>
    <n v="157.80000000000001"/>
    <n v="71"/>
    <n v="26.83"/>
    <n v="203.2"/>
    <n v="114"/>
    <n v="17.27"/>
    <n v="168.7"/>
    <n v="82"/>
    <n v="7.59"/>
    <x v="13"/>
    <x v="5"/>
    <x v="13"/>
    <x v="3"/>
    <x v="1"/>
  </r>
  <r>
    <s v="NY"/>
    <x v="66"/>
    <s v="area_code_415"/>
    <x v="0"/>
    <x v="0"/>
    <n v="37"/>
    <n v="163"/>
    <n v="107"/>
    <n v="27.71"/>
    <n v="312.8"/>
    <n v="118"/>
    <n v="26.59"/>
    <n v="200"/>
    <n v="85"/>
    <n v="9"/>
    <x v="43"/>
    <x v="1"/>
    <x v="43"/>
    <x v="0"/>
    <x v="0"/>
  </r>
  <r>
    <s v="MD"/>
    <x v="83"/>
    <s v="area_code_415"/>
    <x v="0"/>
    <x v="1"/>
    <n v="0"/>
    <n v="181.6"/>
    <n v="119"/>
    <n v="30.87"/>
    <n v="335.7"/>
    <n v="118"/>
    <n v="28.53"/>
    <n v="149.80000000000001"/>
    <n v="64"/>
    <n v="6.74"/>
    <x v="24"/>
    <x v="3"/>
    <x v="24"/>
    <x v="4"/>
    <x v="0"/>
  </r>
  <r>
    <s v="KS"/>
    <x v="93"/>
    <s v="area_code_510"/>
    <x v="0"/>
    <x v="1"/>
    <n v="0"/>
    <n v="129"/>
    <n v="78"/>
    <n v="21.93"/>
    <n v="188"/>
    <n v="116"/>
    <n v="15.98"/>
    <n v="235"/>
    <n v="102"/>
    <n v="10.58"/>
    <x v="7"/>
    <x v="0"/>
    <x v="7"/>
    <x v="2"/>
    <x v="0"/>
  </r>
  <r>
    <s v="WV"/>
    <x v="2"/>
    <s v="area_code_408"/>
    <x v="0"/>
    <x v="1"/>
    <n v="0"/>
    <n v="86"/>
    <n v="83"/>
    <n v="14.62"/>
    <n v="260.7"/>
    <n v="86"/>
    <n v="22.16"/>
    <n v="98.6"/>
    <n v="109"/>
    <n v="4.4400000000000004"/>
    <x v="56"/>
    <x v="4"/>
    <x v="56"/>
    <x v="0"/>
    <x v="0"/>
  </r>
  <r>
    <s v="ID"/>
    <x v="116"/>
    <s v="area_code_510"/>
    <x v="0"/>
    <x v="0"/>
    <n v="17"/>
    <n v="193.9"/>
    <n v="71"/>
    <n v="32.96"/>
    <n v="189.8"/>
    <n v="81"/>
    <n v="16.13"/>
    <n v="196.3"/>
    <n v="97"/>
    <n v="8.83"/>
    <x v="44"/>
    <x v="2"/>
    <x v="44"/>
    <x v="1"/>
    <x v="0"/>
  </r>
  <r>
    <s v="MI"/>
    <x v="72"/>
    <s v="area_code_415"/>
    <x v="0"/>
    <x v="1"/>
    <n v="0"/>
    <n v="188.9"/>
    <n v="105"/>
    <n v="32.11"/>
    <n v="153.6"/>
    <n v="116"/>
    <n v="13.06"/>
    <n v="213.3"/>
    <n v="106"/>
    <n v="9.6"/>
    <x v="39"/>
    <x v="5"/>
    <x v="39"/>
    <x v="2"/>
    <x v="0"/>
  </r>
  <r>
    <s v="TN"/>
    <x v="64"/>
    <s v="area_code_408"/>
    <x v="1"/>
    <x v="1"/>
    <n v="0"/>
    <n v="179.9"/>
    <n v="72"/>
    <n v="30.58"/>
    <n v="170"/>
    <n v="98"/>
    <n v="14.45"/>
    <n v="190.6"/>
    <n v="89"/>
    <n v="8.58"/>
    <x v="12"/>
    <x v="5"/>
    <x v="12"/>
    <x v="0"/>
    <x v="1"/>
  </r>
  <r>
    <s v="CA"/>
    <x v="11"/>
    <s v="area_code_415"/>
    <x v="0"/>
    <x v="1"/>
    <n v="0"/>
    <n v="183.4"/>
    <n v="98"/>
    <n v="31.18"/>
    <n v="281.3"/>
    <n v="95"/>
    <n v="23.91"/>
    <n v="105.2"/>
    <n v="113"/>
    <n v="4.7300000000000004"/>
    <x v="45"/>
    <x v="10"/>
    <x v="45"/>
    <x v="0"/>
    <x v="0"/>
  </r>
  <r>
    <s v="FL"/>
    <x v="28"/>
    <s v="area_code_408"/>
    <x v="0"/>
    <x v="1"/>
    <n v="0"/>
    <n v="288.10000000000002"/>
    <n v="101"/>
    <n v="48.98"/>
    <n v="137.9"/>
    <n v="93"/>
    <n v="11.72"/>
    <n v="206.5"/>
    <n v="88"/>
    <n v="9.2899999999999991"/>
    <x v="77"/>
    <x v="13"/>
    <x v="77"/>
    <x v="1"/>
    <x v="0"/>
  </r>
  <r>
    <s v="LA"/>
    <x v="113"/>
    <s v="area_code_415"/>
    <x v="0"/>
    <x v="1"/>
    <n v="0"/>
    <n v="169.2"/>
    <n v="96"/>
    <n v="28.76"/>
    <n v="149.9"/>
    <n v="83"/>
    <n v="12.74"/>
    <n v="196.9"/>
    <n v="119"/>
    <n v="8.86"/>
    <x v="117"/>
    <x v="4"/>
    <x v="117"/>
    <x v="2"/>
    <x v="0"/>
  </r>
  <r>
    <s v="IL"/>
    <x v="90"/>
    <s v="area_code_415"/>
    <x v="1"/>
    <x v="0"/>
    <n v="29"/>
    <n v="195.5"/>
    <n v="113"/>
    <n v="33.24"/>
    <n v="171.6"/>
    <n v="96"/>
    <n v="14.59"/>
    <n v="204"/>
    <n v="85"/>
    <n v="9.18"/>
    <x v="88"/>
    <x v="6"/>
    <x v="88"/>
    <x v="0"/>
    <x v="1"/>
  </r>
  <r>
    <s v="AL"/>
    <x v="44"/>
    <s v="area_code_415"/>
    <x v="0"/>
    <x v="0"/>
    <n v="20"/>
    <n v="264.39999999999998"/>
    <n v="102"/>
    <n v="44.95"/>
    <n v="219.6"/>
    <n v="123"/>
    <n v="18.670000000000002"/>
    <n v="200.4"/>
    <n v="89"/>
    <n v="9.02"/>
    <x v="61"/>
    <x v="0"/>
    <x v="61"/>
    <x v="2"/>
    <x v="0"/>
  </r>
  <r>
    <s v="PA"/>
    <x v="165"/>
    <s v="area_code_415"/>
    <x v="0"/>
    <x v="1"/>
    <n v="0"/>
    <n v="169.5"/>
    <n v="151"/>
    <n v="28.82"/>
    <n v="112.9"/>
    <n v="84"/>
    <n v="9.6"/>
    <n v="56.6"/>
    <n v="99"/>
    <n v="2.5499999999999998"/>
    <x v="6"/>
    <x v="4"/>
    <x v="6"/>
    <x v="1"/>
    <x v="0"/>
  </r>
  <r>
    <s v="TX"/>
    <x v="153"/>
    <s v="area_code_415"/>
    <x v="0"/>
    <x v="1"/>
    <n v="0"/>
    <n v="141.5"/>
    <n v="102"/>
    <n v="24.06"/>
    <n v="263"/>
    <n v="94"/>
    <n v="22.36"/>
    <n v="207.1"/>
    <n v="113"/>
    <n v="9.32"/>
    <x v="150"/>
    <x v="4"/>
    <x v="150"/>
    <x v="2"/>
    <x v="0"/>
  </r>
  <r>
    <s v="VA"/>
    <x v="98"/>
    <s v="area_code_408"/>
    <x v="0"/>
    <x v="1"/>
    <n v="0"/>
    <n v="154.80000000000001"/>
    <n v="71"/>
    <n v="26.32"/>
    <n v="244"/>
    <n v="73"/>
    <n v="20.74"/>
    <n v="159.6"/>
    <n v="81"/>
    <n v="7.18"/>
    <x v="75"/>
    <x v="4"/>
    <x v="75"/>
    <x v="1"/>
    <x v="0"/>
  </r>
  <r>
    <s v="MT"/>
    <x v="147"/>
    <s v="area_code_408"/>
    <x v="0"/>
    <x v="1"/>
    <n v="0"/>
    <n v="273.2"/>
    <n v="85"/>
    <n v="46.44"/>
    <n v="211.1"/>
    <n v="82"/>
    <n v="17.940000000000001"/>
    <n v="203.7"/>
    <n v="129"/>
    <n v="9.17"/>
    <x v="67"/>
    <x v="2"/>
    <x v="67"/>
    <x v="2"/>
    <x v="1"/>
  </r>
  <r>
    <s v="ND"/>
    <x v="98"/>
    <s v="area_code_408"/>
    <x v="0"/>
    <x v="1"/>
    <n v="0"/>
    <n v="224.6"/>
    <n v="94"/>
    <n v="38.18"/>
    <n v="225.9"/>
    <n v="120"/>
    <n v="19.2"/>
    <n v="269"/>
    <n v="105"/>
    <n v="12.11"/>
    <x v="60"/>
    <x v="10"/>
    <x v="60"/>
    <x v="2"/>
    <x v="0"/>
  </r>
  <r>
    <s v="FL"/>
    <x v="102"/>
    <s v="area_code_415"/>
    <x v="0"/>
    <x v="1"/>
    <n v="0"/>
    <n v="273.8"/>
    <n v="97"/>
    <n v="46.55"/>
    <n v="289.7"/>
    <n v="106"/>
    <n v="24.62"/>
    <n v="269.10000000000002"/>
    <n v="126"/>
    <n v="12.11"/>
    <x v="41"/>
    <x v="0"/>
    <x v="41"/>
    <x v="2"/>
    <x v="1"/>
  </r>
  <r>
    <s v="KY"/>
    <x v="144"/>
    <s v="area_code_415"/>
    <x v="0"/>
    <x v="1"/>
    <n v="0"/>
    <n v="104"/>
    <n v="92"/>
    <n v="17.68"/>
    <n v="197"/>
    <n v="125"/>
    <n v="16.75"/>
    <n v="110.1"/>
    <n v="123"/>
    <n v="4.95"/>
    <x v="28"/>
    <x v="10"/>
    <x v="28"/>
    <x v="1"/>
    <x v="0"/>
  </r>
  <r>
    <s v="MD"/>
    <x v="144"/>
    <s v="area_code_415"/>
    <x v="0"/>
    <x v="0"/>
    <n v="31"/>
    <n v="115.4"/>
    <n v="90"/>
    <n v="19.62"/>
    <n v="217.4"/>
    <n v="78"/>
    <n v="18.48"/>
    <n v="239.9"/>
    <n v="102"/>
    <n v="10.8"/>
    <x v="67"/>
    <x v="4"/>
    <x v="67"/>
    <x v="0"/>
    <x v="0"/>
  </r>
  <r>
    <s v="IN"/>
    <x v="90"/>
    <s v="area_code_415"/>
    <x v="0"/>
    <x v="1"/>
    <n v="0"/>
    <n v="222.1"/>
    <n v="107"/>
    <n v="37.76"/>
    <n v="199.4"/>
    <n v="102"/>
    <n v="16.95"/>
    <n v="162.4"/>
    <n v="107"/>
    <n v="7.31"/>
    <x v="27"/>
    <x v="0"/>
    <x v="27"/>
    <x v="2"/>
    <x v="0"/>
  </r>
  <r>
    <s v="MA"/>
    <x v="103"/>
    <s v="area_code_415"/>
    <x v="0"/>
    <x v="1"/>
    <n v="0"/>
    <n v="116.4"/>
    <n v="98"/>
    <n v="19.79"/>
    <n v="95.6"/>
    <n v="74"/>
    <n v="8.1300000000000008"/>
    <n v="181.5"/>
    <n v="94"/>
    <n v="8.17"/>
    <x v="26"/>
    <x v="0"/>
    <x v="26"/>
    <x v="3"/>
    <x v="0"/>
  </r>
  <r>
    <s v="ND"/>
    <x v="116"/>
    <s v="area_code_415"/>
    <x v="0"/>
    <x v="1"/>
    <n v="0"/>
    <n v="217.7"/>
    <n v="118"/>
    <n v="37.01"/>
    <n v="231.7"/>
    <n v="128"/>
    <n v="19.690000000000001"/>
    <n v="185.3"/>
    <n v="128"/>
    <n v="8.34"/>
    <x v="77"/>
    <x v="13"/>
    <x v="77"/>
    <x v="3"/>
    <x v="0"/>
  </r>
  <r>
    <s v="VT"/>
    <x v="43"/>
    <s v="area_code_415"/>
    <x v="0"/>
    <x v="1"/>
    <n v="0"/>
    <n v="129.4"/>
    <n v="84"/>
    <n v="22"/>
    <n v="157.30000000000001"/>
    <n v="89"/>
    <n v="13.37"/>
    <n v="215.5"/>
    <n v="77"/>
    <n v="9.6999999999999993"/>
    <x v="64"/>
    <x v="0"/>
    <x v="64"/>
    <x v="1"/>
    <x v="0"/>
  </r>
  <r>
    <s v="CT"/>
    <x v="21"/>
    <s v="area_code_415"/>
    <x v="0"/>
    <x v="0"/>
    <n v="33"/>
    <n v="161.80000000000001"/>
    <n v="73"/>
    <n v="27.51"/>
    <n v="273"/>
    <n v="58"/>
    <n v="23.21"/>
    <n v="153.9"/>
    <n v="76"/>
    <n v="6.93"/>
    <x v="0"/>
    <x v="4"/>
    <x v="0"/>
    <x v="1"/>
    <x v="0"/>
  </r>
  <r>
    <s v="VA"/>
    <x v="126"/>
    <s v="area_code_408"/>
    <x v="0"/>
    <x v="0"/>
    <n v="29"/>
    <n v="198.8"/>
    <n v="122"/>
    <n v="33.799999999999997"/>
    <n v="238.6"/>
    <n v="114"/>
    <n v="20.28"/>
    <n v="289.5"/>
    <n v="69"/>
    <n v="13.03"/>
    <x v="73"/>
    <x v="1"/>
    <x v="73"/>
    <x v="0"/>
    <x v="0"/>
  </r>
  <r>
    <s v="MS"/>
    <x v="66"/>
    <s v="area_code_408"/>
    <x v="0"/>
    <x v="0"/>
    <n v="45"/>
    <n v="147.80000000000001"/>
    <n v="85"/>
    <n v="25.13"/>
    <n v="147.4"/>
    <n v="93"/>
    <n v="12.53"/>
    <n v="203.5"/>
    <n v="110"/>
    <n v="9.16"/>
    <x v="100"/>
    <x v="1"/>
    <x v="100"/>
    <x v="0"/>
    <x v="0"/>
  </r>
  <r>
    <s v="AK"/>
    <x v="9"/>
    <s v="area_code_415"/>
    <x v="0"/>
    <x v="1"/>
    <n v="0"/>
    <n v="262.3"/>
    <n v="114"/>
    <n v="44.59"/>
    <n v="198.9"/>
    <n v="96"/>
    <n v="16.91"/>
    <n v="165.9"/>
    <n v="90"/>
    <n v="7.47"/>
    <x v="2"/>
    <x v="1"/>
    <x v="2"/>
    <x v="3"/>
    <x v="0"/>
  </r>
  <r>
    <s v="WY"/>
    <x v="53"/>
    <s v="area_code_415"/>
    <x v="0"/>
    <x v="1"/>
    <n v="0"/>
    <n v="246.4"/>
    <n v="83"/>
    <n v="41.89"/>
    <n v="160.30000000000001"/>
    <n v="88"/>
    <n v="13.63"/>
    <n v="170.9"/>
    <n v="99"/>
    <n v="7.69"/>
    <x v="98"/>
    <x v="2"/>
    <x v="98"/>
    <x v="0"/>
    <x v="0"/>
  </r>
  <r>
    <s v="NC"/>
    <x v="13"/>
    <s v="area_code_510"/>
    <x v="0"/>
    <x v="1"/>
    <n v="0"/>
    <n v="183.4"/>
    <n v="111"/>
    <n v="31.18"/>
    <n v="168.8"/>
    <n v="98"/>
    <n v="14.35"/>
    <n v="199.7"/>
    <n v="97"/>
    <n v="8.99"/>
    <x v="79"/>
    <x v="4"/>
    <x v="79"/>
    <x v="4"/>
    <x v="0"/>
  </r>
  <r>
    <s v="IL"/>
    <x v="108"/>
    <s v="area_code_415"/>
    <x v="0"/>
    <x v="1"/>
    <n v="0"/>
    <n v="191.9"/>
    <n v="95"/>
    <n v="32.619999999999997"/>
    <n v="200.9"/>
    <n v="101"/>
    <n v="17.079999999999998"/>
    <n v="271.89999999999998"/>
    <n v="74"/>
    <n v="12.24"/>
    <x v="114"/>
    <x v="0"/>
    <x v="114"/>
    <x v="0"/>
    <x v="0"/>
  </r>
  <r>
    <s v="OH"/>
    <x v="113"/>
    <s v="area_code_415"/>
    <x v="0"/>
    <x v="1"/>
    <n v="0"/>
    <n v="187.8"/>
    <n v="109"/>
    <n v="31.93"/>
    <n v="154.6"/>
    <n v="97"/>
    <n v="13.14"/>
    <n v="213.9"/>
    <n v="102"/>
    <n v="9.6300000000000008"/>
    <x v="3"/>
    <x v="0"/>
    <x v="3"/>
    <x v="2"/>
    <x v="0"/>
  </r>
  <r>
    <s v="RI"/>
    <x v="82"/>
    <s v="area_code_510"/>
    <x v="0"/>
    <x v="1"/>
    <n v="0"/>
    <n v="259.7"/>
    <n v="106"/>
    <n v="44.15"/>
    <n v="152.69999999999999"/>
    <n v="116"/>
    <n v="12.98"/>
    <n v="224.7"/>
    <n v="92"/>
    <n v="10.11"/>
    <x v="39"/>
    <x v="5"/>
    <x v="39"/>
    <x v="1"/>
    <x v="0"/>
  </r>
  <r>
    <s v="WY"/>
    <x v="68"/>
    <s v="area_code_415"/>
    <x v="1"/>
    <x v="1"/>
    <n v="0"/>
    <n v="180.4"/>
    <n v="123"/>
    <n v="30.67"/>
    <n v="194"/>
    <n v="98"/>
    <n v="16.489999999999998"/>
    <n v="227.3"/>
    <n v="88"/>
    <n v="10.23"/>
    <x v="80"/>
    <x v="1"/>
    <x v="80"/>
    <x v="1"/>
    <x v="0"/>
  </r>
  <r>
    <s v="OR"/>
    <x v="97"/>
    <s v="area_code_510"/>
    <x v="0"/>
    <x v="1"/>
    <n v="0"/>
    <n v="51.8"/>
    <n v="107"/>
    <n v="8.81"/>
    <n v="230.2"/>
    <n v="104"/>
    <n v="19.57"/>
    <n v="227.5"/>
    <n v="118"/>
    <n v="10.24"/>
    <x v="91"/>
    <x v="4"/>
    <x v="91"/>
    <x v="2"/>
    <x v="0"/>
  </r>
  <r>
    <s v="NV"/>
    <x v="171"/>
    <s v="area_code_415"/>
    <x v="0"/>
    <x v="1"/>
    <n v="0"/>
    <n v="303.89999999999998"/>
    <n v="106"/>
    <n v="51.66"/>
    <n v="232.2"/>
    <n v="54"/>
    <n v="19.739999999999998"/>
    <n v="147.1"/>
    <n v="76"/>
    <n v="6.62"/>
    <x v="41"/>
    <x v="0"/>
    <x v="41"/>
    <x v="0"/>
    <x v="1"/>
  </r>
  <r>
    <s v="OR"/>
    <x v="126"/>
    <s v="area_code_510"/>
    <x v="0"/>
    <x v="1"/>
    <n v="0"/>
    <n v="206.2"/>
    <n v="122"/>
    <n v="35.049999999999997"/>
    <n v="164.5"/>
    <n v="94"/>
    <n v="13.98"/>
    <n v="140.30000000000001"/>
    <n v="101"/>
    <n v="6.31"/>
    <x v="44"/>
    <x v="2"/>
    <x v="44"/>
    <x v="3"/>
    <x v="0"/>
  </r>
  <r>
    <s v="ND"/>
    <x v="80"/>
    <s v="area_code_510"/>
    <x v="0"/>
    <x v="1"/>
    <n v="0"/>
    <n v="164.3"/>
    <n v="92"/>
    <n v="27.93"/>
    <n v="233.7"/>
    <n v="107"/>
    <n v="19.86"/>
    <n v="187.3"/>
    <n v="104"/>
    <n v="8.43"/>
    <x v="23"/>
    <x v="8"/>
    <x v="23"/>
    <x v="2"/>
    <x v="0"/>
  </r>
  <r>
    <s v="NJ"/>
    <x v="101"/>
    <s v="area_code_408"/>
    <x v="0"/>
    <x v="1"/>
    <n v="0"/>
    <n v="228.6"/>
    <n v="117"/>
    <n v="38.86"/>
    <n v="132.80000000000001"/>
    <n v="123"/>
    <n v="11.29"/>
    <n v="227.2"/>
    <n v="124"/>
    <n v="10.220000000000001"/>
    <x v="3"/>
    <x v="5"/>
    <x v="3"/>
    <x v="7"/>
    <x v="1"/>
  </r>
  <r>
    <s v="WV"/>
    <x v="32"/>
    <s v="area_code_415"/>
    <x v="0"/>
    <x v="0"/>
    <n v="22"/>
    <n v="200.4"/>
    <n v="80"/>
    <n v="34.07"/>
    <n v="131.1"/>
    <n v="84"/>
    <n v="11.14"/>
    <n v="230.7"/>
    <n v="67"/>
    <n v="10.38"/>
    <x v="98"/>
    <x v="1"/>
    <x v="98"/>
    <x v="0"/>
    <x v="0"/>
  </r>
  <r>
    <s v="VA"/>
    <x v="106"/>
    <s v="area_code_408"/>
    <x v="0"/>
    <x v="1"/>
    <n v="0"/>
    <n v="154.30000000000001"/>
    <n v="107"/>
    <n v="26.23"/>
    <n v="183"/>
    <n v="111"/>
    <n v="15.56"/>
    <n v="54"/>
    <n v="134"/>
    <n v="2.4300000000000002"/>
    <x v="54"/>
    <x v="10"/>
    <x v="54"/>
    <x v="1"/>
    <x v="0"/>
  </r>
  <r>
    <s v="ID"/>
    <x v="90"/>
    <s v="area_code_510"/>
    <x v="0"/>
    <x v="0"/>
    <n v="30"/>
    <n v="122.9"/>
    <n v="93"/>
    <n v="20.89"/>
    <n v="233.5"/>
    <n v="91"/>
    <n v="19.850000000000001"/>
    <n v="199.5"/>
    <n v="144"/>
    <n v="8.98"/>
    <x v="63"/>
    <x v="5"/>
    <x v="63"/>
    <x v="2"/>
    <x v="0"/>
  </r>
  <r>
    <s v="CT"/>
    <x v="46"/>
    <s v="area_code_510"/>
    <x v="1"/>
    <x v="1"/>
    <n v="0"/>
    <n v="220.8"/>
    <n v="100"/>
    <n v="37.54"/>
    <n v="265.7"/>
    <n v="106"/>
    <n v="22.58"/>
    <n v="212.8"/>
    <n v="94"/>
    <n v="9.58"/>
    <x v="69"/>
    <x v="0"/>
    <x v="69"/>
    <x v="1"/>
    <x v="0"/>
  </r>
  <r>
    <s v="NM"/>
    <x v="19"/>
    <s v="area_code_408"/>
    <x v="0"/>
    <x v="1"/>
    <n v="0"/>
    <n v="214.6"/>
    <n v="78"/>
    <n v="36.479999999999997"/>
    <n v="251.7"/>
    <n v="98"/>
    <n v="21.39"/>
    <n v="240.8"/>
    <n v="88"/>
    <n v="10.84"/>
    <x v="55"/>
    <x v="5"/>
    <x v="55"/>
    <x v="1"/>
    <x v="0"/>
  </r>
  <r>
    <s v="CT"/>
    <x v="64"/>
    <s v="area_code_408"/>
    <x v="1"/>
    <x v="1"/>
    <n v="0"/>
    <n v="202"/>
    <n v="123"/>
    <n v="34.340000000000003"/>
    <n v="184.3"/>
    <n v="78"/>
    <n v="15.67"/>
    <n v="176"/>
    <n v="89"/>
    <n v="7.92"/>
    <x v="33"/>
    <x v="5"/>
    <x v="33"/>
    <x v="2"/>
    <x v="1"/>
  </r>
  <r>
    <s v="MI"/>
    <x v="65"/>
    <s v="area_code_408"/>
    <x v="0"/>
    <x v="0"/>
    <n v="32"/>
    <n v="209.5"/>
    <n v="108"/>
    <n v="35.619999999999997"/>
    <n v="109.6"/>
    <n v="64"/>
    <n v="9.32"/>
    <n v="189.7"/>
    <n v="145"/>
    <n v="8.5399999999999991"/>
    <x v="9"/>
    <x v="3"/>
    <x v="9"/>
    <x v="8"/>
    <x v="1"/>
  </r>
  <r>
    <s v="NY"/>
    <x v="66"/>
    <s v="area_code_510"/>
    <x v="0"/>
    <x v="1"/>
    <n v="0"/>
    <n v="145.6"/>
    <n v="102"/>
    <n v="24.75"/>
    <n v="284.7"/>
    <n v="111"/>
    <n v="24.2"/>
    <n v="228.2"/>
    <n v="91"/>
    <n v="10.27"/>
    <x v="1"/>
    <x v="1"/>
    <x v="1"/>
    <x v="1"/>
    <x v="0"/>
  </r>
  <r>
    <s v="MT"/>
    <x v="17"/>
    <s v="area_code_408"/>
    <x v="0"/>
    <x v="0"/>
    <n v="19"/>
    <n v="152.9"/>
    <n v="87"/>
    <n v="25.99"/>
    <n v="213.2"/>
    <n v="99"/>
    <n v="18.12"/>
    <n v="205.3"/>
    <n v="114"/>
    <n v="9.24"/>
    <x v="81"/>
    <x v="3"/>
    <x v="81"/>
    <x v="2"/>
    <x v="0"/>
  </r>
  <r>
    <s v="NE"/>
    <x v="83"/>
    <s v="area_code_415"/>
    <x v="0"/>
    <x v="0"/>
    <n v="25"/>
    <n v="138.30000000000001"/>
    <n v="96"/>
    <n v="23.51"/>
    <n v="80.599999999999994"/>
    <n v="79"/>
    <n v="6.85"/>
    <n v="163.69999999999999"/>
    <n v="83"/>
    <n v="7.37"/>
    <x v="24"/>
    <x v="10"/>
    <x v="24"/>
    <x v="1"/>
    <x v="0"/>
  </r>
  <r>
    <s v="IN"/>
    <x v="20"/>
    <s v="area_code_415"/>
    <x v="0"/>
    <x v="1"/>
    <n v="0"/>
    <n v="189.3"/>
    <n v="157"/>
    <n v="32.18"/>
    <n v="174.9"/>
    <n v="70"/>
    <n v="14.87"/>
    <n v="221.9"/>
    <n v="117"/>
    <n v="9.99"/>
    <x v="7"/>
    <x v="1"/>
    <x v="7"/>
    <x v="3"/>
    <x v="0"/>
  </r>
  <r>
    <s v="CO"/>
    <x v="59"/>
    <s v="area_code_510"/>
    <x v="0"/>
    <x v="1"/>
    <n v="0"/>
    <n v="199.3"/>
    <n v="86"/>
    <n v="33.880000000000003"/>
    <n v="194.8"/>
    <n v="102"/>
    <n v="16.559999999999999"/>
    <n v="298.2"/>
    <n v="82"/>
    <n v="13.42"/>
    <x v="108"/>
    <x v="5"/>
    <x v="108"/>
    <x v="4"/>
    <x v="0"/>
  </r>
  <r>
    <s v="WY"/>
    <x v="76"/>
    <s v="area_code_510"/>
    <x v="1"/>
    <x v="1"/>
    <n v="0"/>
    <n v="247.5"/>
    <n v="99"/>
    <n v="42.08"/>
    <n v="108.5"/>
    <n v="118"/>
    <n v="9.2200000000000006"/>
    <n v="232"/>
    <n v="72"/>
    <n v="10.44"/>
    <x v="15"/>
    <x v="0"/>
    <x v="15"/>
    <x v="2"/>
    <x v="0"/>
  </r>
  <r>
    <s v="OK"/>
    <x v="181"/>
    <s v="area_code_408"/>
    <x v="0"/>
    <x v="1"/>
    <n v="0"/>
    <n v="175.4"/>
    <n v="99"/>
    <n v="29.82"/>
    <n v="155.30000000000001"/>
    <n v="83"/>
    <n v="13.2"/>
    <n v="179.4"/>
    <n v="86"/>
    <n v="8.07"/>
    <x v="73"/>
    <x v="0"/>
    <x v="73"/>
    <x v="0"/>
    <x v="0"/>
  </r>
  <r>
    <s v="SD"/>
    <x v="4"/>
    <s v="area_code_415"/>
    <x v="0"/>
    <x v="1"/>
    <n v="0"/>
    <n v="179.4"/>
    <n v="70"/>
    <n v="30.5"/>
    <n v="143"/>
    <n v="93"/>
    <n v="12.16"/>
    <n v="116.3"/>
    <n v="113"/>
    <n v="5.23"/>
    <x v="7"/>
    <x v="1"/>
    <x v="7"/>
    <x v="0"/>
    <x v="0"/>
  </r>
  <r>
    <s v="SC"/>
    <x v="63"/>
    <s v="area_code_510"/>
    <x v="1"/>
    <x v="0"/>
    <n v="39"/>
    <n v="126.8"/>
    <n v="94"/>
    <n v="21.56"/>
    <n v="293.60000000000002"/>
    <n v="115"/>
    <n v="24.96"/>
    <n v="174.1"/>
    <n v="91"/>
    <n v="7.83"/>
    <x v="80"/>
    <x v="4"/>
    <x v="80"/>
    <x v="1"/>
    <x v="0"/>
  </r>
  <r>
    <s v="NY"/>
    <x v="49"/>
    <s v="area_code_415"/>
    <x v="1"/>
    <x v="1"/>
    <n v="0"/>
    <n v="239.7"/>
    <n v="87"/>
    <n v="40.75"/>
    <n v="281.7"/>
    <n v="92"/>
    <n v="23.94"/>
    <n v="183.5"/>
    <n v="113"/>
    <n v="8.26"/>
    <x v="37"/>
    <x v="8"/>
    <x v="37"/>
    <x v="0"/>
    <x v="1"/>
  </r>
  <r>
    <s v="NY"/>
    <x v="16"/>
    <s v="area_code_415"/>
    <x v="0"/>
    <x v="0"/>
    <n v="33"/>
    <n v="143"/>
    <n v="101"/>
    <n v="24.31"/>
    <n v="212.2"/>
    <n v="102"/>
    <n v="18.04"/>
    <n v="104.9"/>
    <n v="120"/>
    <n v="4.72"/>
    <x v="107"/>
    <x v="4"/>
    <x v="107"/>
    <x v="5"/>
    <x v="1"/>
  </r>
  <r>
    <s v="WV"/>
    <x v="138"/>
    <s v="area_code_415"/>
    <x v="0"/>
    <x v="1"/>
    <n v="0"/>
    <n v="91.9"/>
    <n v="109"/>
    <n v="15.62"/>
    <n v="198.4"/>
    <n v="111"/>
    <n v="16.86"/>
    <n v="171.7"/>
    <n v="125"/>
    <n v="7.73"/>
    <x v="14"/>
    <x v="2"/>
    <x v="14"/>
    <x v="2"/>
    <x v="0"/>
  </r>
  <r>
    <s v="WA"/>
    <x v="80"/>
    <s v="area_code_408"/>
    <x v="0"/>
    <x v="1"/>
    <n v="0"/>
    <n v="210.4"/>
    <n v="80"/>
    <n v="35.770000000000003"/>
    <n v="176.6"/>
    <n v="96"/>
    <n v="15.01"/>
    <n v="149.69999999999999"/>
    <n v="56"/>
    <n v="6.74"/>
    <x v="121"/>
    <x v="4"/>
    <x v="121"/>
    <x v="0"/>
    <x v="0"/>
  </r>
  <r>
    <s v="ID"/>
    <x v="73"/>
    <s v="area_code_415"/>
    <x v="0"/>
    <x v="0"/>
    <n v="29"/>
    <n v="201.3"/>
    <n v="130"/>
    <n v="34.22"/>
    <n v="203.7"/>
    <n v="115"/>
    <n v="17.309999999999999"/>
    <n v="129.9"/>
    <n v="113"/>
    <n v="5.85"/>
    <x v="69"/>
    <x v="3"/>
    <x v="69"/>
    <x v="0"/>
    <x v="1"/>
  </r>
  <r>
    <s v="MN"/>
    <x v="40"/>
    <s v="area_code_510"/>
    <x v="0"/>
    <x v="1"/>
    <n v="0"/>
    <n v="145.6"/>
    <n v="59"/>
    <n v="24.75"/>
    <n v="287.89999999999998"/>
    <n v="131"/>
    <n v="24.47"/>
    <n v="181.7"/>
    <n v="121"/>
    <n v="8.18"/>
    <x v="29"/>
    <x v="4"/>
    <x v="29"/>
    <x v="2"/>
    <x v="0"/>
  </r>
  <r>
    <s v="TX"/>
    <x v="83"/>
    <s v="area_code_510"/>
    <x v="1"/>
    <x v="0"/>
    <n v="31"/>
    <n v="203.5"/>
    <n v="82"/>
    <n v="34.6"/>
    <n v="200.3"/>
    <n v="72"/>
    <n v="17.03"/>
    <n v="214"/>
    <n v="112"/>
    <n v="9.6300000000000008"/>
    <x v="83"/>
    <x v="3"/>
    <x v="83"/>
    <x v="0"/>
    <x v="1"/>
  </r>
  <r>
    <s v="AZ"/>
    <x v="90"/>
    <s v="area_code_415"/>
    <x v="0"/>
    <x v="1"/>
    <n v="0"/>
    <n v="232.4"/>
    <n v="76"/>
    <n v="39.51"/>
    <n v="153.30000000000001"/>
    <n v="103"/>
    <n v="13.03"/>
    <n v="214.6"/>
    <n v="107"/>
    <n v="9.66"/>
    <x v="26"/>
    <x v="5"/>
    <x v="26"/>
    <x v="0"/>
    <x v="0"/>
  </r>
  <r>
    <s v="DE"/>
    <x v="200"/>
    <s v="area_code_415"/>
    <x v="0"/>
    <x v="0"/>
    <n v="8"/>
    <n v="86.5"/>
    <n v="119"/>
    <n v="14.71"/>
    <n v="285.2"/>
    <n v="97"/>
    <n v="24.24"/>
    <n v="180.4"/>
    <n v="133"/>
    <n v="8.1199999999999992"/>
    <x v="6"/>
    <x v="5"/>
    <x v="6"/>
    <x v="2"/>
    <x v="0"/>
  </r>
  <r>
    <s v="CO"/>
    <x v="53"/>
    <s v="area_code_408"/>
    <x v="0"/>
    <x v="1"/>
    <n v="0"/>
    <n v="109.9"/>
    <n v="102"/>
    <n v="18.68"/>
    <n v="220.8"/>
    <n v="114"/>
    <n v="18.77"/>
    <n v="104"/>
    <n v="133"/>
    <n v="4.68"/>
    <x v="54"/>
    <x v="3"/>
    <x v="54"/>
    <x v="1"/>
    <x v="0"/>
  </r>
  <r>
    <s v="WI"/>
    <x v="148"/>
    <s v="area_code_408"/>
    <x v="0"/>
    <x v="1"/>
    <n v="0"/>
    <n v="156"/>
    <n v="88"/>
    <n v="26.52"/>
    <n v="276.10000000000002"/>
    <n v="81"/>
    <n v="23.47"/>
    <n v="175.9"/>
    <n v="94"/>
    <n v="7.92"/>
    <x v="38"/>
    <x v="1"/>
    <x v="38"/>
    <x v="0"/>
    <x v="0"/>
  </r>
  <r>
    <s v="WI"/>
    <x v="121"/>
    <s v="area_code_415"/>
    <x v="0"/>
    <x v="1"/>
    <n v="0"/>
    <n v="326.3"/>
    <n v="112"/>
    <n v="55.47"/>
    <n v="165.1"/>
    <n v="110"/>
    <n v="14.03"/>
    <n v="162.9"/>
    <n v="97"/>
    <n v="7.33"/>
    <x v="4"/>
    <x v="8"/>
    <x v="4"/>
    <x v="0"/>
    <x v="1"/>
  </r>
  <r>
    <s v="NJ"/>
    <x v="33"/>
    <s v="area_code_510"/>
    <x v="0"/>
    <x v="1"/>
    <n v="0"/>
    <n v="195"/>
    <n v="58"/>
    <n v="33.15"/>
    <n v="198.5"/>
    <n v="88"/>
    <n v="16.87"/>
    <n v="304.3"/>
    <n v="110"/>
    <n v="13.69"/>
    <x v="102"/>
    <x v="6"/>
    <x v="102"/>
    <x v="1"/>
    <x v="0"/>
  </r>
  <r>
    <s v="IL"/>
    <x v="128"/>
    <s v="area_code_415"/>
    <x v="1"/>
    <x v="1"/>
    <n v="0"/>
    <n v="110"/>
    <n v="91"/>
    <n v="18.7"/>
    <n v="147.30000000000001"/>
    <n v="75"/>
    <n v="12.52"/>
    <n v="190.5"/>
    <n v="73"/>
    <n v="8.57"/>
    <x v="69"/>
    <x v="2"/>
    <x v="69"/>
    <x v="1"/>
    <x v="0"/>
  </r>
  <r>
    <s v="DC"/>
    <x v="113"/>
    <s v="area_code_415"/>
    <x v="0"/>
    <x v="1"/>
    <n v="0"/>
    <n v="147.1"/>
    <n v="119"/>
    <n v="25.01"/>
    <n v="161"/>
    <n v="111"/>
    <n v="13.69"/>
    <n v="275.89999999999998"/>
    <n v="106"/>
    <n v="12.42"/>
    <x v="62"/>
    <x v="0"/>
    <x v="62"/>
    <x v="5"/>
    <x v="1"/>
  </r>
  <r>
    <s v="IA"/>
    <x v="48"/>
    <s v="area_code_510"/>
    <x v="0"/>
    <x v="1"/>
    <n v="0"/>
    <n v="156"/>
    <n v="141"/>
    <n v="26.52"/>
    <n v="256.8"/>
    <n v="72"/>
    <n v="21.83"/>
    <n v="175.3"/>
    <n v="123"/>
    <n v="7.89"/>
    <x v="78"/>
    <x v="1"/>
    <x v="78"/>
    <x v="2"/>
    <x v="0"/>
  </r>
  <r>
    <s v="GA"/>
    <x v="64"/>
    <s v="area_code_408"/>
    <x v="0"/>
    <x v="1"/>
    <n v="0"/>
    <n v="98.2"/>
    <n v="99"/>
    <n v="16.690000000000001"/>
    <n v="186.7"/>
    <n v="85"/>
    <n v="15.87"/>
    <n v="146.69999999999999"/>
    <n v="96"/>
    <n v="6.6"/>
    <x v="38"/>
    <x v="4"/>
    <x v="38"/>
    <x v="2"/>
    <x v="0"/>
  </r>
  <r>
    <s v="AK"/>
    <x v="85"/>
    <s v="area_code_415"/>
    <x v="0"/>
    <x v="1"/>
    <n v="0"/>
    <n v="210.6"/>
    <n v="120"/>
    <n v="35.799999999999997"/>
    <n v="153.1"/>
    <n v="84"/>
    <n v="13.01"/>
    <n v="262.2"/>
    <n v="79"/>
    <n v="11.8"/>
    <x v="34"/>
    <x v="1"/>
    <x v="34"/>
    <x v="1"/>
    <x v="0"/>
  </r>
  <r>
    <s v="CO"/>
    <x v="19"/>
    <s v="area_code_415"/>
    <x v="0"/>
    <x v="1"/>
    <n v="0"/>
    <n v="197.8"/>
    <n v="66"/>
    <n v="33.630000000000003"/>
    <n v="133.9"/>
    <n v="119"/>
    <n v="11.38"/>
    <n v="177.3"/>
    <n v="94"/>
    <n v="7.98"/>
    <x v="54"/>
    <x v="0"/>
    <x v="54"/>
    <x v="4"/>
    <x v="1"/>
  </r>
  <r>
    <s v="SC"/>
    <x v="173"/>
    <s v="area_code_408"/>
    <x v="0"/>
    <x v="1"/>
    <n v="0"/>
    <n v="123.8"/>
    <n v="113"/>
    <n v="21.05"/>
    <n v="236.2"/>
    <n v="77"/>
    <n v="20.079999999999998"/>
    <n v="73.2"/>
    <n v="81"/>
    <n v="3.29"/>
    <x v="103"/>
    <x v="5"/>
    <x v="103"/>
    <x v="1"/>
    <x v="0"/>
  </r>
  <r>
    <s v="MT"/>
    <x v="35"/>
    <s v="area_code_415"/>
    <x v="0"/>
    <x v="0"/>
    <n v="15"/>
    <n v="117.6"/>
    <n v="97"/>
    <n v="19.989999999999998"/>
    <n v="196.3"/>
    <n v="126"/>
    <n v="16.690000000000001"/>
    <n v="157.4"/>
    <n v="113"/>
    <n v="7.08"/>
    <x v="69"/>
    <x v="0"/>
    <x v="69"/>
    <x v="0"/>
    <x v="0"/>
  </r>
  <r>
    <s v="KY"/>
    <x v="132"/>
    <s v="area_code_415"/>
    <x v="0"/>
    <x v="0"/>
    <n v="28"/>
    <n v="105.3"/>
    <n v="82"/>
    <n v="17.899999999999999"/>
    <n v="197.4"/>
    <n v="109"/>
    <n v="16.78"/>
    <n v="187.5"/>
    <n v="91"/>
    <n v="8.44"/>
    <x v="53"/>
    <x v="3"/>
    <x v="53"/>
    <x v="2"/>
    <x v="0"/>
  </r>
  <r>
    <s v="WV"/>
    <x v="3"/>
    <s v="area_code_415"/>
    <x v="0"/>
    <x v="1"/>
    <n v="0"/>
    <n v="111.7"/>
    <n v="121"/>
    <n v="18.989999999999998"/>
    <n v="237.3"/>
    <n v="119"/>
    <n v="20.170000000000002"/>
    <n v="253.5"/>
    <n v="110"/>
    <n v="11.41"/>
    <x v="67"/>
    <x v="3"/>
    <x v="67"/>
    <x v="0"/>
    <x v="0"/>
  </r>
  <r>
    <s v="ID"/>
    <x v="82"/>
    <s v="area_code_415"/>
    <x v="0"/>
    <x v="1"/>
    <n v="0"/>
    <n v="159.30000000000001"/>
    <n v="104"/>
    <n v="27.08"/>
    <n v="202.3"/>
    <n v="98"/>
    <n v="17.2"/>
    <n v="229"/>
    <n v="73"/>
    <n v="10.31"/>
    <x v="17"/>
    <x v="0"/>
    <x v="17"/>
    <x v="2"/>
    <x v="0"/>
  </r>
  <r>
    <s v="MN"/>
    <x v="46"/>
    <s v="area_code_510"/>
    <x v="0"/>
    <x v="1"/>
    <n v="0"/>
    <n v="81.7"/>
    <n v="123"/>
    <n v="13.89"/>
    <n v="210.2"/>
    <n v="108"/>
    <n v="17.87"/>
    <n v="212"/>
    <n v="64"/>
    <n v="9.5399999999999991"/>
    <x v="61"/>
    <x v="0"/>
    <x v="61"/>
    <x v="8"/>
    <x v="1"/>
  </r>
  <r>
    <s v="MA"/>
    <x v="116"/>
    <s v="area_code_415"/>
    <x v="0"/>
    <x v="0"/>
    <n v="21"/>
    <n v="238"/>
    <n v="88"/>
    <n v="40.46"/>
    <n v="209.6"/>
    <n v="84"/>
    <n v="17.82"/>
    <n v="233"/>
    <n v="95"/>
    <n v="10.49"/>
    <x v="13"/>
    <x v="1"/>
    <x v="13"/>
    <x v="2"/>
    <x v="0"/>
  </r>
  <r>
    <s v="MD"/>
    <x v="64"/>
    <s v="area_code_415"/>
    <x v="0"/>
    <x v="0"/>
    <n v="40"/>
    <n v="128.1"/>
    <n v="99"/>
    <n v="21.78"/>
    <n v="247.7"/>
    <n v="78"/>
    <n v="21.05"/>
    <n v="199.7"/>
    <n v="121"/>
    <n v="8.99"/>
    <x v="95"/>
    <x v="0"/>
    <x v="95"/>
    <x v="1"/>
    <x v="0"/>
  </r>
  <r>
    <s v="SD"/>
    <x v="200"/>
    <s v="area_code_415"/>
    <x v="0"/>
    <x v="0"/>
    <n v="31"/>
    <n v="171.2"/>
    <n v="104"/>
    <n v="29.1"/>
    <n v="193.6"/>
    <n v="74"/>
    <n v="16.46"/>
    <n v="196.5"/>
    <n v="85"/>
    <n v="8.84"/>
    <x v="39"/>
    <x v="4"/>
    <x v="39"/>
    <x v="0"/>
    <x v="0"/>
  </r>
  <r>
    <s v="PA"/>
    <x v="3"/>
    <s v="area_code_510"/>
    <x v="0"/>
    <x v="1"/>
    <n v="0"/>
    <n v="109"/>
    <n v="88"/>
    <n v="18.53"/>
    <n v="259.3"/>
    <n v="120"/>
    <n v="22.04"/>
    <n v="182.1"/>
    <n v="119"/>
    <n v="8.19"/>
    <x v="64"/>
    <x v="0"/>
    <x v="64"/>
    <x v="4"/>
    <x v="1"/>
  </r>
  <r>
    <s v="KY"/>
    <x v="62"/>
    <s v="area_code_415"/>
    <x v="0"/>
    <x v="1"/>
    <n v="0"/>
    <n v="220"/>
    <n v="114"/>
    <n v="37.4"/>
    <n v="207.7"/>
    <n v="76"/>
    <n v="17.649999999999999"/>
    <n v="168.4"/>
    <n v="137"/>
    <n v="7.58"/>
    <x v="47"/>
    <x v="0"/>
    <x v="47"/>
    <x v="2"/>
    <x v="0"/>
  </r>
  <r>
    <s v="ID"/>
    <x v="105"/>
    <s v="area_code_415"/>
    <x v="0"/>
    <x v="1"/>
    <n v="0"/>
    <n v="55.6"/>
    <n v="65"/>
    <n v="9.4499999999999993"/>
    <n v="242.7"/>
    <n v="121"/>
    <n v="20.63"/>
    <n v="176.3"/>
    <n v="134"/>
    <n v="7.93"/>
    <x v="61"/>
    <x v="4"/>
    <x v="61"/>
    <x v="1"/>
    <x v="0"/>
  </r>
  <r>
    <s v="NM"/>
    <x v="69"/>
    <s v="area_code_510"/>
    <x v="0"/>
    <x v="1"/>
    <n v="0"/>
    <n v="207.6"/>
    <n v="96"/>
    <n v="35.29"/>
    <n v="229"/>
    <n v="112"/>
    <n v="19.47"/>
    <n v="162.6"/>
    <n v="131"/>
    <n v="7.32"/>
    <x v="64"/>
    <x v="5"/>
    <x v="64"/>
    <x v="0"/>
    <x v="0"/>
  </r>
  <r>
    <s v="CA"/>
    <x v="102"/>
    <s v="area_code_415"/>
    <x v="0"/>
    <x v="0"/>
    <n v="31"/>
    <n v="109.6"/>
    <n v="108"/>
    <n v="18.63"/>
    <n v="249.3"/>
    <n v="119"/>
    <n v="21.19"/>
    <n v="321.2"/>
    <n v="101"/>
    <n v="14.45"/>
    <x v="24"/>
    <x v="4"/>
    <x v="24"/>
    <x v="4"/>
    <x v="1"/>
  </r>
  <r>
    <s v="ID"/>
    <x v="73"/>
    <s v="area_code_415"/>
    <x v="0"/>
    <x v="1"/>
    <n v="0"/>
    <n v="197.2"/>
    <n v="113"/>
    <n v="33.520000000000003"/>
    <n v="242.3"/>
    <n v="116"/>
    <n v="20.6"/>
    <n v="192"/>
    <n v="76"/>
    <n v="8.64"/>
    <x v="34"/>
    <x v="1"/>
    <x v="34"/>
    <x v="2"/>
    <x v="0"/>
  </r>
  <r>
    <s v="WY"/>
    <x v="181"/>
    <s v="area_code_415"/>
    <x v="0"/>
    <x v="1"/>
    <n v="0"/>
    <n v="175.7"/>
    <n v="120"/>
    <n v="29.87"/>
    <n v="168.6"/>
    <n v="90"/>
    <n v="14.33"/>
    <n v="198.9"/>
    <n v="110"/>
    <n v="8.9499999999999993"/>
    <x v="28"/>
    <x v="4"/>
    <x v="28"/>
    <x v="0"/>
    <x v="0"/>
  </r>
  <r>
    <s v="NM"/>
    <x v="98"/>
    <s v="area_code_510"/>
    <x v="0"/>
    <x v="1"/>
    <n v="0"/>
    <n v="205.2"/>
    <n v="115"/>
    <n v="34.880000000000003"/>
    <n v="184.8"/>
    <n v="137"/>
    <n v="15.71"/>
    <n v="176.1"/>
    <n v="115"/>
    <n v="7.92"/>
    <x v="99"/>
    <x v="3"/>
    <x v="99"/>
    <x v="1"/>
    <x v="0"/>
  </r>
  <r>
    <s v="HI"/>
    <x v="18"/>
    <s v="area_code_408"/>
    <x v="0"/>
    <x v="0"/>
    <n v="13"/>
    <n v="193.1"/>
    <n v="104"/>
    <n v="32.83"/>
    <n v="111.6"/>
    <n v="98"/>
    <n v="9.49"/>
    <n v="227.4"/>
    <n v="94"/>
    <n v="10.23"/>
    <x v="47"/>
    <x v="4"/>
    <x v="47"/>
    <x v="0"/>
    <x v="0"/>
  </r>
  <r>
    <s v="ID"/>
    <x v="55"/>
    <s v="area_code_510"/>
    <x v="0"/>
    <x v="0"/>
    <n v="34"/>
    <n v="232.6"/>
    <n v="121"/>
    <n v="39.54"/>
    <n v="153.19999999999999"/>
    <n v="115"/>
    <n v="13.02"/>
    <n v="286.7"/>
    <n v="77"/>
    <n v="12.9"/>
    <x v="86"/>
    <x v="0"/>
    <x v="86"/>
    <x v="3"/>
    <x v="0"/>
  </r>
  <r>
    <s v="NC"/>
    <x v="9"/>
    <s v="area_code_415"/>
    <x v="0"/>
    <x v="1"/>
    <n v="0"/>
    <n v="102.7"/>
    <n v="89"/>
    <n v="17.46"/>
    <n v="149.30000000000001"/>
    <n v="100"/>
    <n v="12.69"/>
    <n v="188.1"/>
    <n v="114"/>
    <n v="8.4600000000000009"/>
    <x v="34"/>
    <x v="1"/>
    <x v="34"/>
    <x v="1"/>
    <x v="0"/>
  </r>
  <r>
    <s v="TX"/>
    <x v="4"/>
    <s v="area_code_415"/>
    <x v="0"/>
    <x v="0"/>
    <n v="31"/>
    <n v="263.10000000000002"/>
    <n v="70"/>
    <n v="44.73"/>
    <n v="279.3"/>
    <n v="118"/>
    <n v="23.74"/>
    <n v="127.1"/>
    <n v="143"/>
    <n v="5.72"/>
    <x v="84"/>
    <x v="4"/>
    <x v="84"/>
    <x v="5"/>
    <x v="0"/>
  </r>
  <r>
    <s v="GA"/>
    <x v="100"/>
    <s v="area_code_408"/>
    <x v="0"/>
    <x v="1"/>
    <n v="0"/>
    <n v="197"/>
    <n v="79"/>
    <n v="33.49"/>
    <n v="201"/>
    <n v="114"/>
    <n v="17.09"/>
    <n v="151.19999999999999"/>
    <n v="111"/>
    <n v="6.8"/>
    <x v="43"/>
    <x v="1"/>
    <x v="43"/>
    <x v="0"/>
    <x v="0"/>
  </r>
  <r>
    <s v="AL"/>
    <x v="41"/>
    <s v="area_code_408"/>
    <x v="0"/>
    <x v="1"/>
    <n v="0"/>
    <n v="169.3"/>
    <n v="90"/>
    <n v="28.78"/>
    <n v="156"/>
    <n v="138"/>
    <n v="13.26"/>
    <n v="210.8"/>
    <n v="106"/>
    <n v="9.49"/>
    <x v="43"/>
    <x v="3"/>
    <x v="43"/>
    <x v="2"/>
    <x v="0"/>
  </r>
  <r>
    <s v="ME"/>
    <x v="94"/>
    <s v="area_code_415"/>
    <x v="0"/>
    <x v="1"/>
    <n v="0"/>
    <n v="201.5"/>
    <n v="123"/>
    <n v="34.26"/>
    <n v="129.19999999999999"/>
    <n v="110"/>
    <n v="10.98"/>
    <n v="220.6"/>
    <n v="98"/>
    <n v="9.93"/>
    <x v="89"/>
    <x v="4"/>
    <x v="89"/>
    <x v="0"/>
    <x v="0"/>
  </r>
  <r>
    <s v="VA"/>
    <x v="51"/>
    <s v="area_code_415"/>
    <x v="0"/>
    <x v="1"/>
    <n v="0"/>
    <n v="251"/>
    <n v="119"/>
    <n v="42.67"/>
    <n v="91.2"/>
    <n v="96"/>
    <n v="7.75"/>
    <n v="142.19999999999999"/>
    <n v="87"/>
    <n v="6.4"/>
    <x v="12"/>
    <x v="0"/>
    <x v="12"/>
    <x v="3"/>
    <x v="0"/>
  </r>
  <r>
    <s v="ID"/>
    <x v="115"/>
    <s v="area_code_415"/>
    <x v="0"/>
    <x v="1"/>
    <n v="0"/>
    <n v="230.4"/>
    <n v="117"/>
    <n v="39.17"/>
    <n v="225"/>
    <n v="101"/>
    <n v="19.13"/>
    <n v="198.5"/>
    <n v="111"/>
    <n v="8.93"/>
    <x v="98"/>
    <x v="3"/>
    <x v="98"/>
    <x v="3"/>
    <x v="0"/>
  </r>
  <r>
    <s v="NY"/>
    <x v="1"/>
    <s v="area_code_510"/>
    <x v="0"/>
    <x v="1"/>
    <n v="0"/>
    <n v="109.8"/>
    <n v="120"/>
    <n v="18.670000000000002"/>
    <n v="230.5"/>
    <n v="86"/>
    <n v="19.59"/>
    <n v="255.8"/>
    <n v="103"/>
    <n v="11.51"/>
    <x v="78"/>
    <x v="3"/>
    <x v="78"/>
    <x v="0"/>
    <x v="0"/>
  </r>
  <r>
    <s v="OH"/>
    <x v="29"/>
    <s v="area_code_415"/>
    <x v="0"/>
    <x v="1"/>
    <n v="0"/>
    <n v="173.4"/>
    <n v="107"/>
    <n v="29.48"/>
    <n v="222"/>
    <n v="84"/>
    <n v="18.87"/>
    <n v="64.2"/>
    <n v="94"/>
    <n v="2.89"/>
    <x v="0"/>
    <x v="3"/>
    <x v="0"/>
    <x v="0"/>
    <x v="0"/>
  </r>
  <r>
    <s v="HI"/>
    <x v="169"/>
    <s v="area_code_415"/>
    <x v="0"/>
    <x v="0"/>
    <n v="38"/>
    <n v="214.4"/>
    <n v="93"/>
    <n v="36.450000000000003"/>
    <n v="211.7"/>
    <n v="57"/>
    <n v="17.989999999999998"/>
    <n v="165"/>
    <n v="79"/>
    <n v="7.43"/>
    <x v="13"/>
    <x v="10"/>
    <x v="13"/>
    <x v="0"/>
    <x v="0"/>
  </r>
  <r>
    <s v="DC"/>
    <x v="107"/>
    <s v="area_code_415"/>
    <x v="0"/>
    <x v="1"/>
    <n v="0"/>
    <n v="96.1"/>
    <n v="103"/>
    <n v="16.34"/>
    <n v="246.8"/>
    <n v="134"/>
    <n v="20.98"/>
    <n v="229.7"/>
    <n v="92"/>
    <n v="10.34"/>
    <x v="84"/>
    <x v="4"/>
    <x v="84"/>
    <x v="0"/>
    <x v="0"/>
  </r>
  <r>
    <s v="TN"/>
    <x v="131"/>
    <s v="area_code_408"/>
    <x v="0"/>
    <x v="1"/>
    <n v="0"/>
    <n v="101.4"/>
    <n v="145"/>
    <n v="17.239999999999998"/>
    <n v="249.1"/>
    <n v="116"/>
    <n v="21.17"/>
    <n v="157.6"/>
    <n v="107"/>
    <n v="7.09"/>
    <x v="5"/>
    <x v="3"/>
    <x v="5"/>
    <x v="0"/>
    <x v="0"/>
  </r>
  <r>
    <s v="VT"/>
    <x v="34"/>
    <s v="area_code_415"/>
    <x v="0"/>
    <x v="1"/>
    <n v="0"/>
    <n v="232.5"/>
    <n v="74"/>
    <n v="39.53"/>
    <n v="181.8"/>
    <n v="142"/>
    <n v="15.45"/>
    <n v="203.1"/>
    <n v="86"/>
    <n v="9.14"/>
    <x v="91"/>
    <x v="3"/>
    <x v="91"/>
    <x v="4"/>
    <x v="0"/>
  </r>
  <r>
    <s v="MD"/>
    <x v="17"/>
    <s v="area_code_415"/>
    <x v="0"/>
    <x v="0"/>
    <n v="45"/>
    <n v="174.5"/>
    <n v="120"/>
    <n v="29.67"/>
    <n v="217.5"/>
    <n v="95"/>
    <n v="18.489999999999998"/>
    <n v="220.3"/>
    <n v="67"/>
    <n v="9.91"/>
    <x v="1"/>
    <x v="5"/>
    <x v="1"/>
    <x v="0"/>
    <x v="0"/>
  </r>
  <r>
    <s v="HI"/>
    <x v="102"/>
    <s v="area_code_415"/>
    <x v="0"/>
    <x v="1"/>
    <n v="0"/>
    <n v="211.1"/>
    <n v="99"/>
    <n v="35.89"/>
    <n v="176.7"/>
    <n v="66"/>
    <n v="15.02"/>
    <n v="221.5"/>
    <n v="96"/>
    <n v="9.9700000000000006"/>
    <x v="20"/>
    <x v="2"/>
    <x v="20"/>
    <x v="4"/>
    <x v="0"/>
  </r>
  <r>
    <s v="FL"/>
    <x v="115"/>
    <s v="area_code_415"/>
    <x v="0"/>
    <x v="1"/>
    <n v="0"/>
    <n v="109.2"/>
    <n v="96"/>
    <n v="18.559999999999999"/>
    <n v="153.1"/>
    <n v="80"/>
    <n v="13.01"/>
    <n v="240"/>
    <n v="102"/>
    <n v="10.8"/>
    <x v="52"/>
    <x v="1"/>
    <x v="52"/>
    <x v="2"/>
    <x v="0"/>
  </r>
  <r>
    <s v="WY"/>
    <x v="26"/>
    <s v="area_code_408"/>
    <x v="0"/>
    <x v="1"/>
    <n v="0"/>
    <n v="220"/>
    <n v="95"/>
    <n v="37.4"/>
    <n v="179.9"/>
    <n v="121"/>
    <n v="15.29"/>
    <n v="188.2"/>
    <n v="109"/>
    <n v="8.4700000000000006"/>
    <x v="73"/>
    <x v="1"/>
    <x v="73"/>
    <x v="1"/>
    <x v="0"/>
  </r>
  <r>
    <s v="NE"/>
    <x v="73"/>
    <s v="area_code_415"/>
    <x v="0"/>
    <x v="1"/>
    <n v="0"/>
    <n v="181.4"/>
    <n v="98"/>
    <n v="30.84"/>
    <n v="164.5"/>
    <n v="98"/>
    <n v="13.98"/>
    <n v="171"/>
    <n v="110"/>
    <n v="7.69"/>
    <x v="54"/>
    <x v="4"/>
    <x v="54"/>
    <x v="2"/>
    <x v="0"/>
  </r>
  <r>
    <s v="WY"/>
    <x v="117"/>
    <s v="area_code_415"/>
    <x v="0"/>
    <x v="0"/>
    <n v="11"/>
    <n v="180.7"/>
    <n v="82"/>
    <n v="30.72"/>
    <n v="173.7"/>
    <n v="90"/>
    <n v="14.76"/>
    <n v="231.5"/>
    <n v="89"/>
    <n v="10.42"/>
    <x v="3"/>
    <x v="4"/>
    <x v="3"/>
    <x v="2"/>
    <x v="0"/>
  </r>
  <r>
    <s v="OR"/>
    <x v="41"/>
    <s v="area_code_408"/>
    <x v="0"/>
    <x v="0"/>
    <n v="32"/>
    <n v="96.5"/>
    <n v="109"/>
    <n v="16.41"/>
    <n v="145.80000000000001"/>
    <n v="109"/>
    <n v="12.39"/>
    <n v="174.4"/>
    <n v="82"/>
    <n v="7.85"/>
    <x v="27"/>
    <x v="5"/>
    <x v="27"/>
    <x v="0"/>
    <x v="0"/>
  </r>
  <r>
    <s v="IN"/>
    <x v="105"/>
    <s v="area_code_415"/>
    <x v="0"/>
    <x v="1"/>
    <n v="0"/>
    <n v="183.5"/>
    <n v="93"/>
    <n v="31.2"/>
    <n v="170.5"/>
    <n v="80"/>
    <n v="14.49"/>
    <n v="193.8"/>
    <n v="88"/>
    <n v="8.7200000000000006"/>
    <x v="24"/>
    <x v="1"/>
    <x v="24"/>
    <x v="3"/>
    <x v="0"/>
  </r>
  <r>
    <s v="MD"/>
    <x v="82"/>
    <s v="area_code_408"/>
    <x v="0"/>
    <x v="0"/>
    <n v="38"/>
    <n v="107.9"/>
    <n v="90"/>
    <n v="18.34"/>
    <n v="140.4"/>
    <n v="94"/>
    <n v="11.93"/>
    <n v="253.6"/>
    <n v="79"/>
    <n v="11.41"/>
    <x v="26"/>
    <x v="5"/>
    <x v="26"/>
    <x v="1"/>
    <x v="0"/>
  </r>
  <r>
    <s v="TN"/>
    <x v="188"/>
    <s v="area_code_510"/>
    <x v="1"/>
    <x v="1"/>
    <n v="0"/>
    <n v="161"/>
    <n v="96"/>
    <n v="27.37"/>
    <n v="244.9"/>
    <n v="82"/>
    <n v="20.82"/>
    <n v="180.8"/>
    <n v="103"/>
    <n v="8.14"/>
    <x v="18"/>
    <x v="3"/>
    <x v="18"/>
    <x v="0"/>
    <x v="0"/>
  </r>
  <r>
    <s v="WA"/>
    <x v="119"/>
    <s v="area_code_510"/>
    <x v="0"/>
    <x v="1"/>
    <n v="0"/>
    <n v="149.19999999999999"/>
    <n v="146"/>
    <n v="25.36"/>
    <n v="161.9"/>
    <n v="109"/>
    <n v="13.76"/>
    <n v="197.9"/>
    <n v="109"/>
    <n v="8.91"/>
    <x v="24"/>
    <x v="5"/>
    <x v="24"/>
    <x v="3"/>
    <x v="0"/>
  </r>
  <r>
    <s v="MS"/>
    <x v="164"/>
    <s v="area_code_415"/>
    <x v="0"/>
    <x v="1"/>
    <n v="0"/>
    <n v="227.8"/>
    <n v="124"/>
    <n v="38.729999999999997"/>
    <n v="169.5"/>
    <n v="112"/>
    <n v="14.41"/>
    <n v="201.1"/>
    <n v="91"/>
    <n v="9.0500000000000007"/>
    <x v="113"/>
    <x v="4"/>
    <x v="113"/>
    <x v="3"/>
    <x v="0"/>
  </r>
  <r>
    <s v="IN"/>
    <x v="131"/>
    <s v="area_code_415"/>
    <x v="0"/>
    <x v="1"/>
    <n v="0"/>
    <n v="137.80000000000001"/>
    <n v="120"/>
    <n v="23.43"/>
    <n v="225.8"/>
    <n v="110"/>
    <n v="19.190000000000001"/>
    <n v="145.19999999999999"/>
    <n v="95"/>
    <n v="6.53"/>
    <x v="39"/>
    <x v="3"/>
    <x v="39"/>
    <x v="0"/>
    <x v="1"/>
  </r>
  <r>
    <s v="CO"/>
    <x v="103"/>
    <s v="area_code_408"/>
    <x v="0"/>
    <x v="0"/>
    <n v="40"/>
    <n v="141.69999999999999"/>
    <n v="87"/>
    <n v="24.09"/>
    <n v="268.3"/>
    <n v="89"/>
    <n v="22.81"/>
    <n v="241.3"/>
    <n v="68"/>
    <n v="10.86"/>
    <x v="31"/>
    <x v="2"/>
    <x v="31"/>
    <x v="1"/>
    <x v="0"/>
  </r>
  <r>
    <s v="TX"/>
    <x v="62"/>
    <s v="area_code_510"/>
    <x v="0"/>
    <x v="0"/>
    <n v="22"/>
    <n v="196.4"/>
    <n v="115"/>
    <n v="33.39"/>
    <n v="150.30000000000001"/>
    <n v="109"/>
    <n v="12.78"/>
    <n v="176.2"/>
    <n v="75"/>
    <n v="7.93"/>
    <x v="38"/>
    <x v="8"/>
    <x v="38"/>
    <x v="1"/>
    <x v="0"/>
  </r>
  <r>
    <s v="WV"/>
    <x v="2"/>
    <s v="area_code_408"/>
    <x v="0"/>
    <x v="1"/>
    <n v="0"/>
    <n v="146.80000000000001"/>
    <n v="133"/>
    <n v="24.96"/>
    <n v="171.7"/>
    <n v="73"/>
    <n v="14.59"/>
    <n v="234.5"/>
    <n v="69"/>
    <n v="10.55"/>
    <x v="79"/>
    <x v="0"/>
    <x v="79"/>
    <x v="0"/>
    <x v="0"/>
  </r>
  <r>
    <s v="MA"/>
    <x v="39"/>
    <s v="area_code_415"/>
    <x v="0"/>
    <x v="1"/>
    <n v="0"/>
    <n v="173.9"/>
    <n v="111"/>
    <n v="29.56"/>
    <n v="287.39999999999998"/>
    <n v="105"/>
    <n v="24.43"/>
    <n v="204.8"/>
    <n v="91"/>
    <n v="9.2200000000000006"/>
    <x v="9"/>
    <x v="2"/>
    <x v="9"/>
    <x v="0"/>
    <x v="0"/>
  </r>
  <r>
    <s v="TN"/>
    <x v="106"/>
    <s v="area_code_415"/>
    <x v="0"/>
    <x v="0"/>
    <n v="34"/>
    <n v="305.2"/>
    <n v="80"/>
    <n v="51.88"/>
    <n v="156.5"/>
    <n v="109"/>
    <n v="13.3"/>
    <n v="280"/>
    <n v="81"/>
    <n v="12.6"/>
    <x v="32"/>
    <x v="2"/>
    <x v="32"/>
    <x v="0"/>
    <x v="0"/>
  </r>
  <r>
    <s v="DE"/>
    <x v="102"/>
    <s v="area_code_415"/>
    <x v="1"/>
    <x v="1"/>
    <n v="0"/>
    <n v="150"/>
    <n v="106"/>
    <n v="25.5"/>
    <n v="293.8"/>
    <n v="123"/>
    <n v="24.97"/>
    <n v="250.7"/>
    <n v="65"/>
    <n v="11.28"/>
    <x v="19"/>
    <x v="2"/>
    <x v="19"/>
    <x v="3"/>
    <x v="0"/>
  </r>
  <r>
    <s v="VA"/>
    <x v="62"/>
    <s v="area_code_415"/>
    <x v="0"/>
    <x v="1"/>
    <n v="0"/>
    <n v="197.5"/>
    <n v="114"/>
    <n v="33.58"/>
    <n v="206.9"/>
    <n v="119"/>
    <n v="17.59"/>
    <n v="163.6"/>
    <n v="109"/>
    <n v="7.36"/>
    <x v="61"/>
    <x v="4"/>
    <x v="61"/>
    <x v="0"/>
    <x v="0"/>
  </r>
  <r>
    <s v="MT"/>
    <x v="68"/>
    <s v="area_code_408"/>
    <x v="0"/>
    <x v="1"/>
    <n v="0"/>
    <n v="240.2"/>
    <n v="67"/>
    <n v="40.83"/>
    <n v="153"/>
    <n v="98"/>
    <n v="13.01"/>
    <n v="249"/>
    <n v="72"/>
    <n v="11.21"/>
    <x v="39"/>
    <x v="3"/>
    <x v="39"/>
    <x v="2"/>
    <x v="0"/>
  </r>
  <r>
    <s v="ID"/>
    <x v="93"/>
    <s v="area_code_510"/>
    <x v="0"/>
    <x v="0"/>
    <n v="30"/>
    <n v="186.2"/>
    <n v="117"/>
    <n v="31.65"/>
    <n v="286.7"/>
    <n v="76"/>
    <n v="24.37"/>
    <n v="164.3"/>
    <n v="113"/>
    <n v="7.39"/>
    <x v="89"/>
    <x v="0"/>
    <x v="89"/>
    <x v="2"/>
    <x v="0"/>
  </r>
  <r>
    <s v="IN"/>
    <x v="7"/>
    <s v="area_code_415"/>
    <x v="0"/>
    <x v="0"/>
    <n v="39"/>
    <n v="116.9"/>
    <n v="127"/>
    <n v="19.87"/>
    <n v="276.5"/>
    <n v="88"/>
    <n v="23.5"/>
    <n v="289.89999999999998"/>
    <n v="125"/>
    <n v="13.05"/>
    <x v="10"/>
    <x v="5"/>
    <x v="10"/>
    <x v="1"/>
    <x v="0"/>
  </r>
  <r>
    <s v="MD"/>
    <x v="134"/>
    <s v="area_code_415"/>
    <x v="0"/>
    <x v="0"/>
    <n v="17"/>
    <n v="236.7"/>
    <n v="95"/>
    <n v="40.24"/>
    <n v="263.5"/>
    <n v="56"/>
    <n v="22.4"/>
    <n v="259.60000000000002"/>
    <n v="107"/>
    <n v="11.68"/>
    <x v="42"/>
    <x v="4"/>
    <x v="42"/>
    <x v="0"/>
    <x v="0"/>
  </r>
  <r>
    <s v="MS"/>
    <x v="14"/>
    <s v="area_code_408"/>
    <x v="0"/>
    <x v="1"/>
    <n v="0"/>
    <n v="173.2"/>
    <n v="93"/>
    <n v="29.44"/>
    <n v="131.19999999999999"/>
    <n v="80"/>
    <n v="11.15"/>
    <n v="170.9"/>
    <n v="104"/>
    <n v="7.69"/>
    <x v="11"/>
    <x v="0"/>
    <x v="11"/>
    <x v="1"/>
    <x v="0"/>
  </r>
  <r>
    <s v="OH"/>
    <x v="60"/>
    <s v="area_code_415"/>
    <x v="0"/>
    <x v="1"/>
    <n v="0"/>
    <n v="181.3"/>
    <n v="135"/>
    <n v="30.82"/>
    <n v="182.4"/>
    <n v="108"/>
    <n v="15.5"/>
    <n v="180.6"/>
    <n v="103"/>
    <n v="8.1300000000000008"/>
    <x v="92"/>
    <x v="5"/>
    <x v="92"/>
    <x v="1"/>
    <x v="0"/>
  </r>
  <r>
    <s v="RI"/>
    <x v="118"/>
    <s v="area_code_408"/>
    <x v="0"/>
    <x v="1"/>
    <n v="0"/>
    <n v="167.8"/>
    <n v="72"/>
    <n v="28.53"/>
    <n v="211"/>
    <n v="99"/>
    <n v="17.940000000000001"/>
    <n v="153.5"/>
    <n v="109"/>
    <n v="6.91"/>
    <x v="26"/>
    <x v="3"/>
    <x v="26"/>
    <x v="4"/>
    <x v="1"/>
  </r>
  <r>
    <s v="AZ"/>
    <x v="51"/>
    <s v="area_code_415"/>
    <x v="0"/>
    <x v="1"/>
    <n v="0"/>
    <n v="87.6"/>
    <n v="112"/>
    <n v="14.89"/>
    <n v="266.89999999999998"/>
    <n v="107"/>
    <n v="22.69"/>
    <n v="214.6"/>
    <n v="104"/>
    <n v="9.66"/>
    <x v="52"/>
    <x v="11"/>
    <x v="52"/>
    <x v="2"/>
    <x v="0"/>
  </r>
  <r>
    <s v="SC"/>
    <x v="15"/>
    <s v="area_code_415"/>
    <x v="0"/>
    <x v="1"/>
    <n v="0"/>
    <n v="203.3"/>
    <n v="45"/>
    <n v="34.56"/>
    <n v="141.9"/>
    <n v="87"/>
    <n v="12.06"/>
    <n v="200.7"/>
    <n v="71"/>
    <n v="9.0299999999999994"/>
    <x v="31"/>
    <x v="3"/>
    <x v="31"/>
    <x v="1"/>
    <x v="0"/>
  </r>
  <r>
    <s v="KY"/>
    <x v="138"/>
    <s v="area_code_415"/>
    <x v="0"/>
    <x v="1"/>
    <n v="0"/>
    <n v="92.6"/>
    <n v="95"/>
    <n v="15.74"/>
    <n v="161.9"/>
    <n v="70"/>
    <n v="13.76"/>
    <n v="285"/>
    <n v="78"/>
    <n v="12.83"/>
    <x v="61"/>
    <x v="0"/>
    <x v="61"/>
    <x v="5"/>
    <x v="1"/>
  </r>
  <r>
    <s v="AL"/>
    <x v="88"/>
    <s v="area_code_415"/>
    <x v="0"/>
    <x v="0"/>
    <n v="21"/>
    <n v="262.89999999999998"/>
    <n v="135"/>
    <n v="44.69"/>
    <n v="149.5"/>
    <n v="96"/>
    <n v="12.71"/>
    <n v="140.5"/>
    <n v="109"/>
    <n v="6.32"/>
    <x v="111"/>
    <x v="4"/>
    <x v="111"/>
    <x v="0"/>
    <x v="0"/>
  </r>
  <r>
    <s v="MT"/>
    <x v="118"/>
    <s v="area_code_408"/>
    <x v="0"/>
    <x v="0"/>
    <n v="22"/>
    <n v="141.80000000000001"/>
    <n v="116"/>
    <n v="24.11"/>
    <n v="167.3"/>
    <n v="99"/>
    <n v="14.22"/>
    <n v="178.1"/>
    <n v="130"/>
    <n v="8.01"/>
    <x v="35"/>
    <x v="0"/>
    <x v="35"/>
    <x v="0"/>
    <x v="0"/>
  </r>
  <r>
    <s v="MN"/>
    <x v="134"/>
    <s v="area_code_408"/>
    <x v="0"/>
    <x v="0"/>
    <n v="32"/>
    <n v="50.6"/>
    <n v="62"/>
    <n v="8.6"/>
    <n v="201.4"/>
    <n v="87"/>
    <n v="17.12"/>
    <n v="146.80000000000001"/>
    <n v="121"/>
    <n v="6.61"/>
    <x v="134"/>
    <x v="4"/>
    <x v="134"/>
    <x v="2"/>
    <x v="0"/>
  </r>
  <r>
    <s v="NV"/>
    <x v="121"/>
    <s v="area_code_415"/>
    <x v="0"/>
    <x v="1"/>
    <n v="0"/>
    <n v="134.9"/>
    <n v="59"/>
    <n v="22.93"/>
    <n v="156"/>
    <n v="152"/>
    <n v="13.26"/>
    <n v="197.5"/>
    <n v="112"/>
    <n v="8.89"/>
    <x v="39"/>
    <x v="1"/>
    <x v="39"/>
    <x v="0"/>
    <x v="0"/>
  </r>
  <r>
    <s v="CA"/>
    <x v="64"/>
    <s v="area_code_415"/>
    <x v="0"/>
    <x v="1"/>
    <n v="0"/>
    <n v="252.1"/>
    <n v="110"/>
    <n v="42.86"/>
    <n v="226.1"/>
    <n v="103"/>
    <n v="19.22"/>
    <n v="155.6"/>
    <n v="83"/>
    <n v="7"/>
    <x v="12"/>
    <x v="0"/>
    <x v="12"/>
    <x v="0"/>
    <x v="0"/>
  </r>
  <r>
    <s v="UT"/>
    <x v="4"/>
    <s v="area_code_415"/>
    <x v="0"/>
    <x v="0"/>
    <n v="41"/>
    <n v="215.5"/>
    <n v="95"/>
    <n v="36.64"/>
    <n v="241.8"/>
    <n v="92"/>
    <n v="20.55"/>
    <n v="147"/>
    <n v="108"/>
    <n v="6.61"/>
    <x v="63"/>
    <x v="0"/>
    <x v="63"/>
    <x v="0"/>
    <x v="0"/>
  </r>
  <r>
    <s v="IL"/>
    <x v="116"/>
    <s v="area_code_415"/>
    <x v="0"/>
    <x v="1"/>
    <n v="0"/>
    <n v="124.8"/>
    <n v="66"/>
    <n v="21.22"/>
    <n v="257.2"/>
    <n v="85"/>
    <n v="21.86"/>
    <n v="193.2"/>
    <n v="115"/>
    <n v="8.69"/>
    <x v="83"/>
    <x v="4"/>
    <x v="83"/>
    <x v="1"/>
    <x v="0"/>
  </r>
  <r>
    <s v="IN"/>
    <x v="10"/>
    <s v="area_code_415"/>
    <x v="0"/>
    <x v="1"/>
    <n v="0"/>
    <n v="183.2"/>
    <n v="131"/>
    <n v="31.14"/>
    <n v="179.2"/>
    <n v="73"/>
    <n v="15.23"/>
    <n v="292.8"/>
    <n v="100"/>
    <n v="13.18"/>
    <x v="79"/>
    <x v="1"/>
    <x v="79"/>
    <x v="2"/>
    <x v="0"/>
  </r>
  <r>
    <s v="VT"/>
    <x v="51"/>
    <s v="area_code_415"/>
    <x v="0"/>
    <x v="1"/>
    <n v="0"/>
    <n v="230.1"/>
    <n v="107"/>
    <n v="39.119999999999997"/>
    <n v="212"/>
    <n v="120"/>
    <n v="18.02"/>
    <n v="174.9"/>
    <n v="119"/>
    <n v="7.87"/>
    <x v="32"/>
    <x v="4"/>
    <x v="32"/>
    <x v="0"/>
    <x v="0"/>
  </r>
  <r>
    <s v="VT"/>
    <x v="47"/>
    <s v="area_code_408"/>
    <x v="0"/>
    <x v="1"/>
    <n v="0"/>
    <n v="135.80000000000001"/>
    <n v="125"/>
    <n v="23.09"/>
    <n v="163.19999999999999"/>
    <n v="88"/>
    <n v="13.87"/>
    <n v="229.8"/>
    <n v="106"/>
    <n v="10.34"/>
    <x v="44"/>
    <x v="0"/>
    <x v="44"/>
    <x v="1"/>
    <x v="0"/>
  </r>
  <r>
    <s v="UT"/>
    <x v="6"/>
    <s v="area_code_510"/>
    <x v="0"/>
    <x v="0"/>
    <n v="20"/>
    <n v="205.7"/>
    <n v="98"/>
    <n v="34.97"/>
    <n v="136.1"/>
    <n v="107"/>
    <n v="11.57"/>
    <n v="159.4"/>
    <n v="147"/>
    <n v="7.17"/>
    <x v="6"/>
    <x v="0"/>
    <x v="6"/>
    <x v="2"/>
    <x v="0"/>
  </r>
  <r>
    <s v="KY"/>
    <x v="65"/>
    <s v="area_code_408"/>
    <x v="0"/>
    <x v="1"/>
    <n v="0"/>
    <n v="73.8"/>
    <n v="105"/>
    <n v="12.55"/>
    <n v="143.4"/>
    <n v="114"/>
    <n v="12.19"/>
    <n v="170.2"/>
    <n v="98"/>
    <n v="7.66"/>
    <x v="54"/>
    <x v="0"/>
    <x v="54"/>
    <x v="2"/>
    <x v="0"/>
  </r>
  <r>
    <s v="VA"/>
    <x v="98"/>
    <s v="area_code_408"/>
    <x v="0"/>
    <x v="1"/>
    <n v="0"/>
    <n v="189.3"/>
    <n v="119"/>
    <n v="32.18"/>
    <n v="233.5"/>
    <n v="112"/>
    <n v="19.850000000000001"/>
    <n v="270.89999999999998"/>
    <n v="104"/>
    <n v="12.19"/>
    <x v="13"/>
    <x v="8"/>
    <x v="13"/>
    <x v="2"/>
    <x v="0"/>
  </r>
  <r>
    <s v="OH"/>
    <x v="162"/>
    <s v="area_code_408"/>
    <x v="0"/>
    <x v="1"/>
    <n v="0"/>
    <n v="147.19999999999999"/>
    <n v="115"/>
    <n v="25.02"/>
    <n v="161.9"/>
    <n v="123"/>
    <n v="13.76"/>
    <n v="142.1"/>
    <n v="103"/>
    <n v="6.39"/>
    <x v="68"/>
    <x v="3"/>
    <x v="68"/>
    <x v="3"/>
    <x v="0"/>
  </r>
  <r>
    <s v="AZ"/>
    <x v="86"/>
    <s v="area_code_408"/>
    <x v="0"/>
    <x v="0"/>
    <n v="42"/>
    <n v="137.30000000000001"/>
    <n v="95"/>
    <n v="23.34"/>
    <n v="184.2"/>
    <n v="94"/>
    <n v="15.66"/>
    <n v="231.4"/>
    <n v="70"/>
    <n v="10.41"/>
    <x v="39"/>
    <x v="0"/>
    <x v="39"/>
    <x v="1"/>
    <x v="0"/>
  </r>
  <r>
    <s v="NY"/>
    <x v="112"/>
    <s v="area_code_510"/>
    <x v="0"/>
    <x v="1"/>
    <n v="0"/>
    <n v="70.7"/>
    <n v="125"/>
    <n v="12.02"/>
    <n v="211"/>
    <n v="113"/>
    <n v="17.940000000000001"/>
    <n v="174.6"/>
    <n v="107"/>
    <n v="7.86"/>
    <x v="77"/>
    <x v="13"/>
    <x v="77"/>
    <x v="2"/>
    <x v="0"/>
  </r>
  <r>
    <s v="VA"/>
    <x v="133"/>
    <s v="area_code_408"/>
    <x v="0"/>
    <x v="1"/>
    <n v="0"/>
    <n v="204.6"/>
    <n v="117"/>
    <n v="34.78"/>
    <n v="205.2"/>
    <n v="94"/>
    <n v="17.440000000000001"/>
    <n v="164.6"/>
    <n v="84"/>
    <n v="7.41"/>
    <x v="85"/>
    <x v="1"/>
    <x v="85"/>
    <x v="1"/>
    <x v="0"/>
  </r>
  <r>
    <s v="MD"/>
    <x v="18"/>
    <s v="area_code_510"/>
    <x v="0"/>
    <x v="1"/>
    <n v="0"/>
    <n v="123.1"/>
    <n v="88"/>
    <n v="20.93"/>
    <n v="213.9"/>
    <n v="84"/>
    <n v="18.18"/>
    <n v="184.9"/>
    <n v="88"/>
    <n v="8.32"/>
    <x v="42"/>
    <x v="5"/>
    <x v="42"/>
    <x v="5"/>
    <x v="1"/>
  </r>
  <r>
    <s v="MA"/>
    <x v="76"/>
    <s v="area_code_510"/>
    <x v="0"/>
    <x v="0"/>
    <n v="19"/>
    <n v="129.69999999999999"/>
    <n v="115"/>
    <n v="22.05"/>
    <n v="160.80000000000001"/>
    <n v="101"/>
    <n v="13.67"/>
    <n v="265"/>
    <n v="63"/>
    <n v="11.93"/>
    <x v="1"/>
    <x v="0"/>
    <x v="1"/>
    <x v="2"/>
    <x v="0"/>
  </r>
  <r>
    <s v="IL"/>
    <x v="81"/>
    <s v="area_code_415"/>
    <x v="1"/>
    <x v="1"/>
    <n v="0"/>
    <n v="198.7"/>
    <n v="70"/>
    <n v="33.78"/>
    <n v="209.5"/>
    <n v="106"/>
    <n v="17.809999999999999"/>
    <n v="281.89999999999998"/>
    <n v="126"/>
    <n v="12.69"/>
    <x v="70"/>
    <x v="4"/>
    <x v="70"/>
    <x v="1"/>
    <x v="0"/>
  </r>
  <r>
    <s v="LA"/>
    <x v="101"/>
    <s v="area_code_415"/>
    <x v="0"/>
    <x v="1"/>
    <n v="0"/>
    <n v="145.1"/>
    <n v="116"/>
    <n v="24.67"/>
    <n v="233.7"/>
    <n v="82"/>
    <n v="19.86"/>
    <n v="208.7"/>
    <n v="95"/>
    <n v="9.39"/>
    <x v="57"/>
    <x v="1"/>
    <x v="57"/>
    <x v="2"/>
    <x v="0"/>
  </r>
  <r>
    <s v="MO"/>
    <x v="198"/>
    <s v="area_code_415"/>
    <x v="0"/>
    <x v="1"/>
    <n v="0"/>
    <n v="135.19999999999999"/>
    <n v="101"/>
    <n v="22.98"/>
    <n v="152.5"/>
    <n v="79"/>
    <n v="12.96"/>
    <n v="224.8"/>
    <n v="83"/>
    <n v="10.119999999999999"/>
    <x v="80"/>
    <x v="1"/>
    <x v="80"/>
    <x v="2"/>
    <x v="0"/>
  </r>
  <r>
    <s v="DC"/>
    <x v="106"/>
    <s v="area_code_408"/>
    <x v="0"/>
    <x v="0"/>
    <n v="28"/>
    <n v="124.7"/>
    <n v="105"/>
    <n v="21.2"/>
    <n v="250.4"/>
    <n v="78"/>
    <n v="21.28"/>
    <n v="216.4"/>
    <n v="128"/>
    <n v="9.74"/>
    <x v="35"/>
    <x v="10"/>
    <x v="35"/>
    <x v="0"/>
    <x v="0"/>
  </r>
  <r>
    <s v="PA"/>
    <x v="1"/>
    <s v="area_code_415"/>
    <x v="0"/>
    <x v="1"/>
    <n v="0"/>
    <n v="215.9"/>
    <n v="76"/>
    <n v="36.700000000000003"/>
    <n v="145.4"/>
    <n v="118"/>
    <n v="12.36"/>
    <n v="186.9"/>
    <n v="129"/>
    <n v="8.41"/>
    <x v="47"/>
    <x v="4"/>
    <x v="47"/>
    <x v="0"/>
    <x v="0"/>
  </r>
  <r>
    <s v="TN"/>
    <x v="96"/>
    <s v="area_code_415"/>
    <x v="0"/>
    <x v="1"/>
    <n v="0"/>
    <n v="119.2"/>
    <n v="142"/>
    <n v="20.260000000000002"/>
    <n v="228.4"/>
    <n v="139"/>
    <n v="19.41"/>
    <n v="197.9"/>
    <n v="61"/>
    <n v="8.91"/>
    <x v="80"/>
    <x v="6"/>
    <x v="80"/>
    <x v="2"/>
    <x v="0"/>
  </r>
  <r>
    <s v="NJ"/>
    <x v="105"/>
    <s v="area_code_510"/>
    <x v="0"/>
    <x v="1"/>
    <n v="0"/>
    <n v="144.30000000000001"/>
    <n v="116"/>
    <n v="24.53"/>
    <n v="156.4"/>
    <n v="74"/>
    <n v="13.29"/>
    <n v="214.7"/>
    <n v="90"/>
    <n v="9.66"/>
    <x v="35"/>
    <x v="11"/>
    <x v="35"/>
    <x v="3"/>
    <x v="0"/>
  </r>
  <r>
    <s v="VA"/>
    <x v="96"/>
    <s v="area_code_415"/>
    <x v="0"/>
    <x v="1"/>
    <n v="0"/>
    <n v="235.2"/>
    <n v="121"/>
    <n v="39.979999999999997"/>
    <n v="220.6"/>
    <n v="87"/>
    <n v="18.75"/>
    <n v="236.3"/>
    <n v="91"/>
    <n v="10.63"/>
    <x v="23"/>
    <x v="4"/>
    <x v="23"/>
    <x v="0"/>
    <x v="0"/>
  </r>
  <r>
    <s v="TN"/>
    <x v="11"/>
    <s v="area_code_510"/>
    <x v="0"/>
    <x v="1"/>
    <n v="0"/>
    <n v="174"/>
    <n v="57"/>
    <n v="29.58"/>
    <n v="281.10000000000002"/>
    <n v="118"/>
    <n v="23.89"/>
    <n v="197.2"/>
    <n v="94"/>
    <n v="8.8699999999999992"/>
    <x v="84"/>
    <x v="5"/>
    <x v="84"/>
    <x v="1"/>
    <x v="0"/>
  </r>
  <r>
    <s v="NJ"/>
    <x v="20"/>
    <s v="area_code_510"/>
    <x v="1"/>
    <x v="1"/>
    <n v="0"/>
    <n v="115"/>
    <n v="65"/>
    <n v="19.55"/>
    <n v="122.3"/>
    <n v="96"/>
    <n v="10.4"/>
    <n v="245"/>
    <n v="75"/>
    <n v="11.03"/>
    <x v="69"/>
    <x v="8"/>
    <x v="69"/>
    <x v="1"/>
    <x v="1"/>
  </r>
  <r>
    <s v="WA"/>
    <x v="205"/>
    <s v="area_code_408"/>
    <x v="0"/>
    <x v="1"/>
    <n v="0"/>
    <n v="151.69999999999999"/>
    <n v="93"/>
    <n v="25.79"/>
    <n v="178.5"/>
    <n v="77"/>
    <n v="15.17"/>
    <n v="229.1"/>
    <n v="111"/>
    <n v="10.31"/>
    <x v="67"/>
    <x v="10"/>
    <x v="67"/>
    <x v="2"/>
    <x v="0"/>
  </r>
  <r>
    <s v="WI"/>
    <x v="76"/>
    <s v="area_code_415"/>
    <x v="0"/>
    <x v="1"/>
    <n v="0"/>
    <n v="218.6"/>
    <n v="93"/>
    <n v="37.159999999999997"/>
    <n v="149.9"/>
    <n v="130"/>
    <n v="12.74"/>
    <n v="204.6"/>
    <n v="131"/>
    <n v="9.2100000000000009"/>
    <x v="29"/>
    <x v="1"/>
    <x v="29"/>
    <x v="2"/>
    <x v="0"/>
  </r>
  <r>
    <s v="ME"/>
    <x v="42"/>
    <s v="area_code_415"/>
    <x v="0"/>
    <x v="1"/>
    <n v="0"/>
    <n v="190.3"/>
    <n v="98"/>
    <n v="32.35"/>
    <n v="252.7"/>
    <n v="70"/>
    <n v="21.48"/>
    <n v="220.6"/>
    <n v="97"/>
    <n v="9.93"/>
    <x v="68"/>
    <x v="6"/>
    <x v="68"/>
    <x v="2"/>
    <x v="0"/>
  </r>
  <r>
    <s v="CO"/>
    <x v="73"/>
    <s v="area_code_415"/>
    <x v="0"/>
    <x v="1"/>
    <n v="0"/>
    <n v="184.7"/>
    <n v="60"/>
    <n v="31.4"/>
    <n v="262"/>
    <n v="73"/>
    <n v="22.27"/>
    <n v="239.5"/>
    <n v="120"/>
    <n v="10.78"/>
    <x v="10"/>
    <x v="3"/>
    <x v="10"/>
    <x v="2"/>
    <x v="1"/>
  </r>
  <r>
    <s v="CO"/>
    <x v="40"/>
    <s v="area_code_408"/>
    <x v="0"/>
    <x v="1"/>
    <n v="0"/>
    <n v="115.3"/>
    <n v="99"/>
    <n v="19.600000000000001"/>
    <n v="224.7"/>
    <n v="117"/>
    <n v="19.100000000000001"/>
    <n v="152.5"/>
    <n v="98"/>
    <n v="6.86"/>
    <x v="101"/>
    <x v="5"/>
    <x v="101"/>
    <x v="0"/>
    <x v="0"/>
  </r>
  <r>
    <s v="RI"/>
    <x v="41"/>
    <s v="area_code_408"/>
    <x v="0"/>
    <x v="1"/>
    <n v="0"/>
    <n v="113"/>
    <n v="108"/>
    <n v="19.21"/>
    <n v="169.2"/>
    <n v="107"/>
    <n v="14.38"/>
    <n v="156.6"/>
    <n v="61"/>
    <n v="7.05"/>
    <x v="29"/>
    <x v="1"/>
    <x v="29"/>
    <x v="2"/>
    <x v="1"/>
  </r>
  <r>
    <s v="CT"/>
    <x v="115"/>
    <s v="area_code_408"/>
    <x v="0"/>
    <x v="1"/>
    <n v="0"/>
    <n v="294.2"/>
    <n v="100"/>
    <n v="50.01"/>
    <n v="232.5"/>
    <n v="53"/>
    <n v="19.760000000000002"/>
    <n v="195"/>
    <n v="64"/>
    <n v="8.7799999999999994"/>
    <x v="62"/>
    <x v="8"/>
    <x v="62"/>
    <x v="1"/>
    <x v="1"/>
  </r>
  <r>
    <s v="NC"/>
    <x v="66"/>
    <s v="area_code_415"/>
    <x v="0"/>
    <x v="1"/>
    <n v="0"/>
    <n v="215.6"/>
    <n v="86"/>
    <n v="36.65"/>
    <n v="167.8"/>
    <n v="59"/>
    <n v="14.26"/>
    <n v="207"/>
    <n v="67"/>
    <n v="9.32"/>
    <x v="69"/>
    <x v="10"/>
    <x v="69"/>
    <x v="3"/>
    <x v="0"/>
  </r>
  <r>
    <s v="WY"/>
    <x v="30"/>
    <s v="area_code_408"/>
    <x v="0"/>
    <x v="1"/>
    <n v="0"/>
    <n v="128.80000000000001"/>
    <n v="80"/>
    <n v="21.9"/>
    <n v="208.7"/>
    <n v="93"/>
    <n v="17.739999999999998"/>
    <n v="202.1"/>
    <n v="103"/>
    <n v="9.09"/>
    <x v="100"/>
    <x v="2"/>
    <x v="100"/>
    <x v="0"/>
    <x v="0"/>
  </r>
  <r>
    <s v="OR"/>
    <x v="51"/>
    <s v="area_code_415"/>
    <x v="1"/>
    <x v="0"/>
    <n v="28"/>
    <n v="211.2"/>
    <n v="117"/>
    <n v="35.9"/>
    <n v="312.5"/>
    <n v="98"/>
    <n v="26.56"/>
    <n v="178"/>
    <n v="118"/>
    <n v="8.01"/>
    <x v="85"/>
    <x v="5"/>
    <x v="85"/>
    <x v="3"/>
    <x v="1"/>
  </r>
  <r>
    <s v="FL"/>
    <x v="53"/>
    <s v="area_code_415"/>
    <x v="0"/>
    <x v="0"/>
    <n v="24"/>
    <n v="71.2"/>
    <n v="82"/>
    <n v="12.1"/>
    <n v="181.6"/>
    <n v="103"/>
    <n v="15.44"/>
    <n v="186.9"/>
    <n v="111"/>
    <n v="8.41"/>
    <x v="89"/>
    <x v="8"/>
    <x v="89"/>
    <x v="0"/>
    <x v="0"/>
  </r>
  <r>
    <s v="KY"/>
    <x v="15"/>
    <s v="area_code_408"/>
    <x v="0"/>
    <x v="1"/>
    <n v="0"/>
    <n v="94.9"/>
    <n v="121"/>
    <n v="16.13"/>
    <n v="253.2"/>
    <n v="83"/>
    <n v="21.52"/>
    <n v="175.1"/>
    <n v="86"/>
    <n v="7.88"/>
    <x v="66"/>
    <x v="5"/>
    <x v="66"/>
    <x v="2"/>
    <x v="0"/>
  </r>
  <r>
    <s v="SC"/>
    <x v="94"/>
    <s v="area_code_510"/>
    <x v="0"/>
    <x v="1"/>
    <n v="0"/>
    <n v="259.39999999999998"/>
    <n v="116"/>
    <n v="44.1"/>
    <n v="269.7"/>
    <n v="109"/>
    <n v="22.92"/>
    <n v="175.3"/>
    <n v="130"/>
    <n v="7.89"/>
    <x v="17"/>
    <x v="0"/>
    <x v="17"/>
    <x v="0"/>
    <x v="1"/>
  </r>
  <r>
    <s v="WA"/>
    <x v="64"/>
    <s v="area_code_408"/>
    <x v="0"/>
    <x v="0"/>
    <n v="28"/>
    <n v="215.8"/>
    <n v="123"/>
    <n v="36.69"/>
    <n v="285.2"/>
    <n v="76"/>
    <n v="24.24"/>
    <n v="192.1"/>
    <n v="78"/>
    <n v="8.64"/>
    <x v="72"/>
    <x v="0"/>
    <x v="72"/>
    <x v="0"/>
    <x v="0"/>
  </r>
  <r>
    <s v="MT"/>
    <x v="31"/>
    <s v="area_code_415"/>
    <x v="0"/>
    <x v="1"/>
    <n v="0"/>
    <n v="97.5"/>
    <n v="113"/>
    <n v="16.579999999999998"/>
    <n v="268.10000000000002"/>
    <n v="69"/>
    <n v="22.79"/>
    <n v="255.3"/>
    <n v="62"/>
    <n v="11.49"/>
    <x v="32"/>
    <x v="4"/>
    <x v="32"/>
    <x v="3"/>
    <x v="0"/>
  </r>
  <r>
    <s v="PA"/>
    <x v="7"/>
    <s v="area_code_510"/>
    <x v="0"/>
    <x v="1"/>
    <n v="0"/>
    <n v="146.5"/>
    <n v="121"/>
    <n v="24.91"/>
    <n v="169.9"/>
    <n v="125"/>
    <n v="14.44"/>
    <n v="238.8"/>
    <n v="112"/>
    <n v="10.75"/>
    <x v="45"/>
    <x v="1"/>
    <x v="45"/>
    <x v="1"/>
    <x v="0"/>
  </r>
  <r>
    <s v="MA"/>
    <x v="53"/>
    <s v="area_code_408"/>
    <x v="0"/>
    <x v="1"/>
    <n v="0"/>
    <n v="157.9"/>
    <n v="72"/>
    <n v="26.84"/>
    <n v="234"/>
    <n v="93"/>
    <n v="19.89"/>
    <n v="210"/>
    <n v="86"/>
    <n v="9.4499999999999993"/>
    <x v="1"/>
    <x v="1"/>
    <x v="1"/>
    <x v="2"/>
    <x v="0"/>
  </r>
  <r>
    <s v="VT"/>
    <x v="145"/>
    <s v="area_code_415"/>
    <x v="0"/>
    <x v="1"/>
    <n v="0"/>
    <n v="139.9"/>
    <n v="117"/>
    <n v="23.78"/>
    <n v="223.6"/>
    <n v="96"/>
    <n v="19.010000000000002"/>
    <n v="240.8"/>
    <n v="93"/>
    <n v="10.84"/>
    <x v="8"/>
    <x v="4"/>
    <x v="8"/>
    <x v="2"/>
    <x v="0"/>
  </r>
  <r>
    <s v="MN"/>
    <x v="6"/>
    <s v="area_code_408"/>
    <x v="0"/>
    <x v="0"/>
    <n v="21"/>
    <n v="153.19999999999999"/>
    <n v="112"/>
    <n v="26.04"/>
    <n v="263.3"/>
    <n v="110"/>
    <n v="22.38"/>
    <n v="135"/>
    <n v="85"/>
    <n v="6.08"/>
    <x v="78"/>
    <x v="2"/>
    <x v="78"/>
    <x v="0"/>
    <x v="0"/>
  </r>
  <r>
    <s v="AR"/>
    <x v="137"/>
    <s v="area_code_408"/>
    <x v="0"/>
    <x v="1"/>
    <n v="0"/>
    <n v="185.8"/>
    <n v="119"/>
    <n v="31.59"/>
    <n v="192.3"/>
    <n v="83"/>
    <n v="16.350000000000001"/>
    <n v="200"/>
    <n v="96"/>
    <n v="9"/>
    <x v="2"/>
    <x v="4"/>
    <x v="2"/>
    <x v="0"/>
    <x v="0"/>
  </r>
  <r>
    <s v="NC"/>
    <x v="151"/>
    <s v="area_code_408"/>
    <x v="0"/>
    <x v="1"/>
    <n v="0"/>
    <n v="182.2"/>
    <n v="101"/>
    <n v="30.97"/>
    <n v="212.3"/>
    <n v="95"/>
    <n v="18.05"/>
    <n v="233"/>
    <n v="123"/>
    <n v="10.49"/>
    <x v="38"/>
    <x v="4"/>
    <x v="38"/>
    <x v="2"/>
    <x v="0"/>
  </r>
  <r>
    <s v="TN"/>
    <x v="64"/>
    <s v="area_code_415"/>
    <x v="0"/>
    <x v="1"/>
    <n v="0"/>
    <n v="185.7"/>
    <n v="133"/>
    <n v="31.57"/>
    <n v="235.1"/>
    <n v="149"/>
    <n v="19.98"/>
    <n v="256.39999999999998"/>
    <n v="78"/>
    <n v="11.54"/>
    <x v="132"/>
    <x v="3"/>
    <x v="132"/>
    <x v="1"/>
    <x v="0"/>
  </r>
  <r>
    <s v="DC"/>
    <x v="85"/>
    <s v="area_code_510"/>
    <x v="0"/>
    <x v="0"/>
    <n v="29"/>
    <n v="222.6"/>
    <n v="81"/>
    <n v="37.840000000000003"/>
    <n v="190.3"/>
    <n v="109"/>
    <n v="16.18"/>
    <n v="201.2"/>
    <n v="87"/>
    <n v="9.0500000000000007"/>
    <x v="73"/>
    <x v="5"/>
    <x v="73"/>
    <x v="0"/>
    <x v="0"/>
  </r>
  <r>
    <s v="MN"/>
    <x v="72"/>
    <s v="area_code_415"/>
    <x v="0"/>
    <x v="1"/>
    <n v="0"/>
    <n v="197.3"/>
    <n v="67"/>
    <n v="33.54"/>
    <n v="264.5"/>
    <n v="106"/>
    <n v="22.48"/>
    <n v="210.5"/>
    <n v="116"/>
    <n v="9.4700000000000006"/>
    <x v="62"/>
    <x v="3"/>
    <x v="62"/>
    <x v="0"/>
    <x v="0"/>
  </r>
  <r>
    <s v="IA"/>
    <x v="118"/>
    <s v="area_code_510"/>
    <x v="0"/>
    <x v="0"/>
    <n v="33"/>
    <n v="141.4"/>
    <n v="130"/>
    <n v="24.04"/>
    <n v="186.4"/>
    <n v="114"/>
    <n v="15.84"/>
    <n v="210"/>
    <n v="111"/>
    <n v="9.4499999999999993"/>
    <x v="18"/>
    <x v="3"/>
    <x v="18"/>
    <x v="0"/>
    <x v="0"/>
  </r>
  <r>
    <s v="KS"/>
    <x v="77"/>
    <s v="area_code_510"/>
    <x v="0"/>
    <x v="1"/>
    <n v="0"/>
    <n v="208"/>
    <n v="69"/>
    <n v="35.36"/>
    <n v="95.1"/>
    <n v="94"/>
    <n v="8.08"/>
    <n v="178.5"/>
    <n v="129"/>
    <n v="8.0299999999999994"/>
    <x v="40"/>
    <x v="12"/>
    <x v="40"/>
    <x v="0"/>
    <x v="0"/>
  </r>
  <r>
    <s v="ND"/>
    <x v="130"/>
    <s v="area_code_415"/>
    <x v="0"/>
    <x v="1"/>
    <n v="0"/>
    <n v="118.5"/>
    <n v="92"/>
    <n v="20.149999999999999"/>
    <n v="177.8"/>
    <n v="109"/>
    <n v="15.11"/>
    <n v="255.7"/>
    <n v="98"/>
    <n v="11.51"/>
    <x v="47"/>
    <x v="4"/>
    <x v="47"/>
    <x v="0"/>
    <x v="0"/>
  </r>
  <r>
    <s v="MT"/>
    <x v="128"/>
    <s v="area_code_510"/>
    <x v="0"/>
    <x v="1"/>
    <n v="0"/>
    <n v="153.19999999999999"/>
    <n v="65"/>
    <n v="26.04"/>
    <n v="229.7"/>
    <n v="90"/>
    <n v="19.52"/>
    <n v="148.19999999999999"/>
    <n v="94"/>
    <n v="6.67"/>
    <x v="85"/>
    <x v="10"/>
    <x v="85"/>
    <x v="0"/>
    <x v="0"/>
  </r>
  <r>
    <s v="IL"/>
    <x v="200"/>
    <s v="area_code_510"/>
    <x v="0"/>
    <x v="1"/>
    <n v="0"/>
    <n v="108.3"/>
    <n v="87"/>
    <n v="18.41"/>
    <n v="183.6"/>
    <n v="116"/>
    <n v="15.61"/>
    <n v="176.6"/>
    <n v="109"/>
    <n v="7.95"/>
    <x v="88"/>
    <x v="5"/>
    <x v="88"/>
    <x v="1"/>
    <x v="0"/>
  </r>
  <r>
    <s v="KY"/>
    <x v="142"/>
    <s v="area_code_415"/>
    <x v="0"/>
    <x v="1"/>
    <n v="0"/>
    <n v="247.2"/>
    <n v="116"/>
    <n v="42.02"/>
    <n v="303.7"/>
    <n v="103"/>
    <n v="25.81"/>
    <n v="105.4"/>
    <n v="94"/>
    <n v="4.74"/>
    <x v="38"/>
    <x v="5"/>
    <x v="38"/>
    <x v="2"/>
    <x v="1"/>
  </r>
  <r>
    <s v="MS"/>
    <x v="147"/>
    <s v="area_code_510"/>
    <x v="1"/>
    <x v="1"/>
    <n v="0"/>
    <n v="224.2"/>
    <n v="81"/>
    <n v="38.11"/>
    <n v="243.3"/>
    <n v="90"/>
    <n v="20.68"/>
    <n v="147.80000000000001"/>
    <n v="66"/>
    <n v="6.65"/>
    <x v="42"/>
    <x v="10"/>
    <x v="42"/>
    <x v="3"/>
    <x v="0"/>
  </r>
  <r>
    <s v="IA"/>
    <x v="32"/>
    <s v="area_code_415"/>
    <x v="0"/>
    <x v="0"/>
    <n v="43"/>
    <n v="118.4"/>
    <n v="100"/>
    <n v="20.13"/>
    <n v="144.1"/>
    <n v="108"/>
    <n v="12.25"/>
    <n v="158.1"/>
    <n v="91"/>
    <n v="7.11"/>
    <x v="31"/>
    <x v="3"/>
    <x v="31"/>
    <x v="0"/>
    <x v="0"/>
  </r>
  <r>
    <s v="AK"/>
    <x v="78"/>
    <s v="area_code_510"/>
    <x v="0"/>
    <x v="1"/>
    <n v="0"/>
    <n v="190.9"/>
    <n v="62"/>
    <n v="32.450000000000003"/>
    <n v="226.6"/>
    <n v="53"/>
    <n v="19.260000000000002"/>
    <n v="230.1"/>
    <n v="96"/>
    <n v="10.35"/>
    <x v="35"/>
    <x v="0"/>
    <x v="35"/>
    <x v="2"/>
    <x v="0"/>
  </r>
  <r>
    <s v="MN"/>
    <x v="153"/>
    <s v="area_code_415"/>
    <x v="0"/>
    <x v="1"/>
    <n v="0"/>
    <n v="317.8"/>
    <n v="60"/>
    <n v="54.03"/>
    <n v="152.9"/>
    <n v="100"/>
    <n v="13"/>
    <n v="123.4"/>
    <n v="63"/>
    <n v="5.55"/>
    <x v="91"/>
    <x v="2"/>
    <x v="91"/>
    <x v="0"/>
    <x v="1"/>
  </r>
  <r>
    <s v="WV"/>
    <x v="146"/>
    <s v="area_code_415"/>
    <x v="0"/>
    <x v="1"/>
    <n v="0"/>
    <n v="312"/>
    <n v="112"/>
    <n v="53.04"/>
    <n v="180"/>
    <n v="109"/>
    <n v="15.3"/>
    <n v="168.6"/>
    <n v="94"/>
    <n v="7.59"/>
    <x v="75"/>
    <x v="4"/>
    <x v="75"/>
    <x v="0"/>
    <x v="1"/>
  </r>
  <r>
    <s v="MS"/>
    <x v="100"/>
    <s v="area_code_415"/>
    <x v="0"/>
    <x v="1"/>
    <n v="0"/>
    <n v="131.6"/>
    <n v="95"/>
    <n v="22.37"/>
    <n v="179.3"/>
    <n v="109"/>
    <n v="15.24"/>
    <n v="251.2"/>
    <n v="129"/>
    <n v="11.3"/>
    <x v="121"/>
    <x v="0"/>
    <x v="121"/>
    <x v="0"/>
    <x v="1"/>
  </r>
  <r>
    <s v="ME"/>
    <x v="20"/>
    <s v="area_code_415"/>
    <x v="0"/>
    <x v="0"/>
    <n v="33"/>
    <n v="193.4"/>
    <n v="105"/>
    <n v="32.880000000000003"/>
    <n v="231.6"/>
    <n v="79"/>
    <n v="19.690000000000001"/>
    <n v="226.2"/>
    <n v="90"/>
    <n v="10.18"/>
    <x v="22"/>
    <x v="12"/>
    <x v="22"/>
    <x v="2"/>
    <x v="0"/>
  </r>
  <r>
    <s v="MN"/>
    <x v="68"/>
    <s v="area_code_510"/>
    <x v="0"/>
    <x v="1"/>
    <n v="0"/>
    <n v="185.1"/>
    <n v="92"/>
    <n v="31.47"/>
    <n v="213"/>
    <n v="85"/>
    <n v="18.11"/>
    <n v="196.1"/>
    <n v="85"/>
    <n v="8.82"/>
    <x v="31"/>
    <x v="1"/>
    <x v="31"/>
    <x v="2"/>
    <x v="0"/>
  </r>
  <r>
    <s v="GA"/>
    <x v="136"/>
    <s v="area_code_510"/>
    <x v="0"/>
    <x v="1"/>
    <n v="0"/>
    <n v="193.3"/>
    <n v="106"/>
    <n v="32.86"/>
    <n v="169"/>
    <n v="150"/>
    <n v="14.37"/>
    <n v="225.2"/>
    <n v="122"/>
    <n v="10.130000000000001"/>
    <x v="23"/>
    <x v="4"/>
    <x v="23"/>
    <x v="1"/>
    <x v="0"/>
  </r>
  <r>
    <s v="DC"/>
    <x v="103"/>
    <s v="area_code_415"/>
    <x v="0"/>
    <x v="1"/>
    <n v="0"/>
    <n v="146.4"/>
    <n v="107"/>
    <n v="24.89"/>
    <n v="196.5"/>
    <n v="99"/>
    <n v="16.7"/>
    <n v="230.1"/>
    <n v="106"/>
    <n v="10.35"/>
    <x v="35"/>
    <x v="5"/>
    <x v="35"/>
    <x v="0"/>
    <x v="0"/>
  </r>
  <r>
    <s v="GA"/>
    <x v="61"/>
    <s v="area_code_510"/>
    <x v="0"/>
    <x v="1"/>
    <n v="0"/>
    <n v="71.2"/>
    <n v="90"/>
    <n v="12.1"/>
    <n v="304.39999999999998"/>
    <n v="119"/>
    <n v="25.87"/>
    <n v="183.3"/>
    <n v="103"/>
    <n v="8.25"/>
    <x v="53"/>
    <x v="4"/>
    <x v="53"/>
    <x v="1"/>
    <x v="0"/>
  </r>
  <r>
    <s v="OK"/>
    <x v="43"/>
    <s v="area_code_510"/>
    <x v="0"/>
    <x v="1"/>
    <n v="0"/>
    <n v="205"/>
    <n v="90"/>
    <n v="34.85"/>
    <n v="140.9"/>
    <n v="114"/>
    <n v="11.98"/>
    <n v="272.60000000000002"/>
    <n v="96"/>
    <n v="12.27"/>
    <x v="4"/>
    <x v="4"/>
    <x v="4"/>
    <x v="2"/>
    <x v="0"/>
  </r>
  <r>
    <s v="GA"/>
    <x v="32"/>
    <s v="area_code_510"/>
    <x v="0"/>
    <x v="1"/>
    <n v="0"/>
    <n v="216.9"/>
    <n v="78"/>
    <n v="36.869999999999997"/>
    <n v="211"/>
    <n v="115"/>
    <n v="17.940000000000001"/>
    <n v="179.8"/>
    <n v="116"/>
    <n v="8.09"/>
    <x v="37"/>
    <x v="1"/>
    <x v="37"/>
    <x v="3"/>
    <x v="0"/>
  </r>
  <r>
    <s v="NJ"/>
    <x v="39"/>
    <s v="area_code_510"/>
    <x v="0"/>
    <x v="1"/>
    <n v="0"/>
    <n v="150"/>
    <n v="122"/>
    <n v="25.5"/>
    <n v="218.5"/>
    <n v="116"/>
    <n v="18.57"/>
    <n v="212.4"/>
    <n v="89"/>
    <n v="9.56"/>
    <x v="52"/>
    <x v="8"/>
    <x v="52"/>
    <x v="3"/>
    <x v="0"/>
  </r>
  <r>
    <s v="MN"/>
    <x v="101"/>
    <s v="area_code_415"/>
    <x v="0"/>
    <x v="1"/>
    <n v="0"/>
    <n v="164.1"/>
    <n v="106"/>
    <n v="27.9"/>
    <n v="206"/>
    <n v="56"/>
    <n v="17.510000000000002"/>
    <n v="194.7"/>
    <n v="124"/>
    <n v="8.76"/>
    <x v="37"/>
    <x v="5"/>
    <x v="37"/>
    <x v="0"/>
    <x v="0"/>
  </r>
  <r>
    <s v="ME"/>
    <x v="102"/>
    <s v="area_code_510"/>
    <x v="0"/>
    <x v="1"/>
    <n v="0"/>
    <n v="212"/>
    <n v="113"/>
    <n v="36.04"/>
    <n v="226.6"/>
    <n v="128"/>
    <n v="19.260000000000002"/>
    <n v="193.6"/>
    <n v="114"/>
    <n v="8.7100000000000009"/>
    <x v="56"/>
    <x v="2"/>
    <x v="56"/>
    <x v="3"/>
    <x v="0"/>
  </r>
  <r>
    <s v="MI"/>
    <x v="101"/>
    <s v="area_code_510"/>
    <x v="0"/>
    <x v="0"/>
    <n v="37"/>
    <n v="167.3"/>
    <n v="99"/>
    <n v="28.44"/>
    <n v="194.7"/>
    <n v="99"/>
    <n v="16.55"/>
    <n v="236.7"/>
    <n v="112"/>
    <n v="10.65"/>
    <x v="42"/>
    <x v="6"/>
    <x v="42"/>
    <x v="2"/>
    <x v="0"/>
  </r>
  <r>
    <s v="MT"/>
    <x v="116"/>
    <s v="area_code_415"/>
    <x v="0"/>
    <x v="1"/>
    <n v="0"/>
    <n v="154.4"/>
    <n v="130"/>
    <n v="26.25"/>
    <n v="217.2"/>
    <n v="101"/>
    <n v="18.46"/>
    <n v="185.4"/>
    <n v="52"/>
    <n v="8.34"/>
    <x v="55"/>
    <x v="4"/>
    <x v="55"/>
    <x v="0"/>
    <x v="0"/>
  </r>
  <r>
    <s v="NE"/>
    <x v="131"/>
    <s v="area_code_510"/>
    <x v="0"/>
    <x v="0"/>
    <n v="30"/>
    <n v="177.3"/>
    <n v="95"/>
    <n v="30.14"/>
    <n v="211.8"/>
    <n v="102"/>
    <n v="18"/>
    <n v="240.2"/>
    <n v="108"/>
    <n v="10.81"/>
    <x v="38"/>
    <x v="2"/>
    <x v="38"/>
    <x v="3"/>
    <x v="0"/>
  </r>
  <r>
    <s v="ND"/>
    <x v="66"/>
    <s v="area_code_408"/>
    <x v="0"/>
    <x v="1"/>
    <n v="0"/>
    <n v="231.2"/>
    <n v="141"/>
    <n v="39.299999999999997"/>
    <n v="267.8"/>
    <n v="136"/>
    <n v="22.76"/>
    <n v="240.3"/>
    <n v="100"/>
    <n v="10.81"/>
    <x v="82"/>
    <x v="1"/>
    <x v="82"/>
    <x v="0"/>
    <x v="1"/>
  </r>
  <r>
    <s v="VA"/>
    <x v="74"/>
    <s v="area_code_415"/>
    <x v="0"/>
    <x v="1"/>
    <n v="0"/>
    <n v="202.9"/>
    <n v="100"/>
    <n v="34.49"/>
    <n v="178.6"/>
    <n v="46"/>
    <n v="15.18"/>
    <n v="203.8"/>
    <n v="116"/>
    <n v="9.17"/>
    <x v="75"/>
    <x v="0"/>
    <x v="75"/>
    <x v="5"/>
    <x v="0"/>
  </r>
  <r>
    <s v="VT"/>
    <x v="67"/>
    <s v="area_code_408"/>
    <x v="0"/>
    <x v="1"/>
    <n v="0"/>
    <n v="149.6"/>
    <n v="120"/>
    <n v="25.43"/>
    <n v="200.7"/>
    <n v="85"/>
    <n v="17.059999999999999"/>
    <n v="181.2"/>
    <n v="107"/>
    <n v="8.15"/>
    <x v="108"/>
    <x v="6"/>
    <x v="108"/>
    <x v="1"/>
    <x v="0"/>
  </r>
  <r>
    <s v="OH"/>
    <x v="85"/>
    <s v="area_code_510"/>
    <x v="1"/>
    <x v="1"/>
    <n v="0"/>
    <n v="345.3"/>
    <n v="81"/>
    <n v="58.7"/>
    <n v="203.4"/>
    <n v="106"/>
    <n v="17.29"/>
    <n v="217.5"/>
    <n v="107"/>
    <n v="9.7899999999999991"/>
    <x v="23"/>
    <x v="10"/>
    <x v="23"/>
    <x v="0"/>
    <x v="1"/>
  </r>
  <r>
    <s v="AL"/>
    <x v="91"/>
    <s v="area_code_408"/>
    <x v="0"/>
    <x v="1"/>
    <n v="0"/>
    <n v="264.89999999999998"/>
    <n v="80"/>
    <n v="45.03"/>
    <n v="281.2"/>
    <n v="66"/>
    <n v="23.9"/>
    <n v="166.1"/>
    <n v="80"/>
    <n v="7.47"/>
    <x v="80"/>
    <x v="4"/>
    <x v="80"/>
    <x v="0"/>
    <x v="1"/>
  </r>
  <r>
    <s v="DC"/>
    <x v="15"/>
    <s v="area_code_408"/>
    <x v="0"/>
    <x v="1"/>
    <n v="0"/>
    <n v="122"/>
    <n v="92"/>
    <n v="20.74"/>
    <n v="138.30000000000001"/>
    <n v="114"/>
    <n v="11.76"/>
    <n v="224.2"/>
    <n v="128"/>
    <n v="10.09"/>
    <x v="41"/>
    <x v="1"/>
    <x v="41"/>
    <x v="0"/>
    <x v="0"/>
  </r>
  <r>
    <s v="ND"/>
    <x v="64"/>
    <s v="area_code_415"/>
    <x v="0"/>
    <x v="1"/>
    <n v="0"/>
    <n v="177.2"/>
    <n v="88"/>
    <n v="30.12"/>
    <n v="270.39999999999998"/>
    <n v="99"/>
    <n v="22.98"/>
    <n v="231.5"/>
    <n v="90"/>
    <n v="10.42"/>
    <x v="100"/>
    <x v="5"/>
    <x v="100"/>
    <x v="2"/>
    <x v="0"/>
  </r>
  <r>
    <s v="TN"/>
    <x v="125"/>
    <s v="area_code_415"/>
    <x v="0"/>
    <x v="1"/>
    <n v="0"/>
    <n v="133.1"/>
    <n v="80"/>
    <n v="22.63"/>
    <n v="206.5"/>
    <n v="120"/>
    <n v="17.55"/>
    <n v="221.6"/>
    <n v="96"/>
    <n v="9.9700000000000006"/>
    <x v="19"/>
    <x v="10"/>
    <x v="19"/>
    <x v="0"/>
    <x v="0"/>
  </r>
  <r>
    <s v="DE"/>
    <x v="35"/>
    <s v="area_code_510"/>
    <x v="0"/>
    <x v="1"/>
    <n v="0"/>
    <n v="225.1"/>
    <n v="90"/>
    <n v="38.270000000000003"/>
    <n v="279.5"/>
    <n v="127"/>
    <n v="23.76"/>
    <n v="233.8"/>
    <n v="103"/>
    <n v="10.52"/>
    <x v="82"/>
    <x v="4"/>
    <x v="82"/>
    <x v="1"/>
    <x v="1"/>
  </r>
  <r>
    <s v="NY"/>
    <x v="88"/>
    <s v="area_code_408"/>
    <x v="0"/>
    <x v="1"/>
    <n v="0"/>
    <n v="208.4"/>
    <n v="120"/>
    <n v="35.43"/>
    <n v="174.4"/>
    <n v="99"/>
    <n v="14.82"/>
    <n v="310.7"/>
    <n v="105"/>
    <n v="13.98"/>
    <x v="7"/>
    <x v="4"/>
    <x v="7"/>
    <x v="0"/>
    <x v="0"/>
  </r>
  <r>
    <s v="AL"/>
    <x v="13"/>
    <s v="area_code_408"/>
    <x v="0"/>
    <x v="0"/>
    <n v="30"/>
    <n v="173.1"/>
    <n v="107"/>
    <n v="29.43"/>
    <n v="247.2"/>
    <n v="101"/>
    <n v="21.01"/>
    <n v="158.69999999999999"/>
    <n v="104"/>
    <n v="7.14"/>
    <x v="73"/>
    <x v="1"/>
    <x v="73"/>
    <x v="0"/>
    <x v="0"/>
  </r>
  <r>
    <s v="OK"/>
    <x v="112"/>
    <s v="area_code_510"/>
    <x v="1"/>
    <x v="1"/>
    <n v="0"/>
    <n v="162.4"/>
    <n v="131"/>
    <n v="27.61"/>
    <n v="167"/>
    <n v="102"/>
    <n v="14.2"/>
    <n v="128.9"/>
    <n v="118"/>
    <n v="5.8"/>
    <x v="37"/>
    <x v="5"/>
    <x v="37"/>
    <x v="2"/>
    <x v="1"/>
  </r>
  <r>
    <s v="NE"/>
    <x v="5"/>
    <s v="area_code_415"/>
    <x v="0"/>
    <x v="0"/>
    <n v="38"/>
    <n v="243.4"/>
    <n v="126"/>
    <n v="41.38"/>
    <n v="273.8"/>
    <n v="109"/>
    <n v="23.27"/>
    <n v="282.89999999999998"/>
    <n v="91"/>
    <n v="12.73"/>
    <x v="71"/>
    <x v="10"/>
    <x v="71"/>
    <x v="2"/>
    <x v="0"/>
  </r>
  <r>
    <s v="IL"/>
    <x v="75"/>
    <s v="area_code_415"/>
    <x v="0"/>
    <x v="1"/>
    <n v="0"/>
    <n v="189.3"/>
    <n v="100"/>
    <n v="32.18"/>
    <n v="239.3"/>
    <n v="107"/>
    <n v="20.34"/>
    <n v="89.7"/>
    <n v="89"/>
    <n v="4.04"/>
    <x v="79"/>
    <x v="0"/>
    <x v="79"/>
    <x v="3"/>
    <x v="0"/>
  </r>
  <r>
    <s v="IN"/>
    <x v="40"/>
    <s v="area_code_408"/>
    <x v="0"/>
    <x v="0"/>
    <n v="46"/>
    <n v="168.3"/>
    <n v="124"/>
    <n v="28.61"/>
    <n v="270.89999999999998"/>
    <n v="103"/>
    <n v="23.03"/>
    <n v="222.5"/>
    <n v="98"/>
    <n v="10.01"/>
    <x v="92"/>
    <x v="5"/>
    <x v="92"/>
    <x v="4"/>
    <x v="0"/>
  </r>
  <r>
    <s v="UT"/>
    <x v="43"/>
    <s v="area_code_415"/>
    <x v="0"/>
    <x v="0"/>
    <n v="24"/>
    <n v="232.9"/>
    <n v="90"/>
    <n v="39.590000000000003"/>
    <n v="152.1"/>
    <n v="94"/>
    <n v="12.93"/>
    <n v="344.3"/>
    <n v="82"/>
    <n v="15.49"/>
    <x v="85"/>
    <x v="3"/>
    <x v="85"/>
    <x v="0"/>
    <x v="0"/>
  </r>
  <r>
    <s v="LA"/>
    <x v="155"/>
    <s v="area_code_415"/>
    <x v="0"/>
    <x v="0"/>
    <n v="37"/>
    <n v="155"/>
    <n v="98"/>
    <n v="26.35"/>
    <n v="142.4"/>
    <n v="105"/>
    <n v="12.1"/>
    <n v="143.69999999999999"/>
    <n v="117"/>
    <n v="6.47"/>
    <x v="96"/>
    <x v="4"/>
    <x v="96"/>
    <x v="0"/>
    <x v="0"/>
  </r>
  <r>
    <s v="ID"/>
    <x v="29"/>
    <s v="area_code_510"/>
    <x v="0"/>
    <x v="1"/>
    <n v="0"/>
    <n v="154.4"/>
    <n v="130"/>
    <n v="26.25"/>
    <n v="203.8"/>
    <n v="90"/>
    <n v="17.32"/>
    <n v="158.69999999999999"/>
    <n v="59"/>
    <n v="7.14"/>
    <x v="23"/>
    <x v="0"/>
    <x v="23"/>
    <x v="1"/>
    <x v="0"/>
  </r>
  <r>
    <s v="KY"/>
    <x v="15"/>
    <s v="area_code_510"/>
    <x v="0"/>
    <x v="1"/>
    <n v="0"/>
    <n v="234.7"/>
    <n v="102"/>
    <n v="39.9"/>
    <n v="195.7"/>
    <n v="110"/>
    <n v="16.63"/>
    <n v="253.4"/>
    <n v="71"/>
    <n v="11.4"/>
    <x v="80"/>
    <x v="10"/>
    <x v="80"/>
    <x v="2"/>
    <x v="0"/>
  </r>
  <r>
    <s v="NH"/>
    <x v="41"/>
    <s v="area_code_415"/>
    <x v="1"/>
    <x v="1"/>
    <n v="0"/>
    <n v="298.39999999999998"/>
    <n v="78"/>
    <n v="50.73"/>
    <n v="270.5"/>
    <n v="142"/>
    <n v="22.99"/>
    <n v="107.3"/>
    <n v="84"/>
    <n v="4.83"/>
    <x v="1"/>
    <x v="5"/>
    <x v="1"/>
    <x v="1"/>
    <x v="1"/>
  </r>
  <r>
    <s v="OR"/>
    <x v="148"/>
    <s v="area_code_415"/>
    <x v="0"/>
    <x v="0"/>
    <n v="33"/>
    <n v="111.6"/>
    <n v="140"/>
    <n v="18.97"/>
    <n v="213.3"/>
    <n v="111"/>
    <n v="18.13"/>
    <n v="267.60000000000002"/>
    <n v="115"/>
    <n v="12.04"/>
    <x v="106"/>
    <x v="0"/>
    <x v="106"/>
    <x v="1"/>
    <x v="0"/>
  </r>
  <r>
    <s v="SD"/>
    <x v="32"/>
    <s v="area_code_415"/>
    <x v="0"/>
    <x v="1"/>
    <n v="0"/>
    <n v="174.5"/>
    <n v="98"/>
    <n v="29.67"/>
    <n v="180.2"/>
    <n v="103"/>
    <n v="15.32"/>
    <n v="179"/>
    <n v="89"/>
    <n v="8.06"/>
    <x v="85"/>
    <x v="5"/>
    <x v="85"/>
    <x v="2"/>
    <x v="0"/>
  </r>
  <r>
    <s v="MD"/>
    <x v="43"/>
    <s v="area_code_510"/>
    <x v="1"/>
    <x v="0"/>
    <n v="27"/>
    <n v="175.5"/>
    <n v="137"/>
    <n v="29.84"/>
    <n v="210.6"/>
    <n v="60"/>
    <n v="17.899999999999999"/>
    <n v="294.8"/>
    <n v="121"/>
    <n v="13.27"/>
    <x v="72"/>
    <x v="1"/>
    <x v="72"/>
    <x v="0"/>
    <x v="0"/>
  </r>
  <r>
    <s v="MO"/>
    <x v="2"/>
    <s v="area_code_415"/>
    <x v="0"/>
    <x v="0"/>
    <n v="35"/>
    <n v="207.5"/>
    <n v="138"/>
    <n v="35.28"/>
    <n v="201"/>
    <n v="116"/>
    <n v="17.09"/>
    <n v="164.5"/>
    <n v="107"/>
    <n v="7.4"/>
    <x v="4"/>
    <x v="18"/>
    <x v="4"/>
    <x v="4"/>
    <x v="0"/>
  </r>
  <r>
    <s v="UT"/>
    <x v="169"/>
    <s v="area_code_415"/>
    <x v="0"/>
    <x v="1"/>
    <n v="0"/>
    <n v="258.8"/>
    <n v="85"/>
    <n v="44"/>
    <n v="129.5"/>
    <n v="114"/>
    <n v="11.01"/>
    <n v="193.6"/>
    <n v="106"/>
    <n v="8.7100000000000009"/>
    <x v="54"/>
    <x v="2"/>
    <x v="54"/>
    <x v="2"/>
    <x v="0"/>
  </r>
  <r>
    <s v="MI"/>
    <x v="102"/>
    <s v="area_code_415"/>
    <x v="0"/>
    <x v="1"/>
    <n v="0"/>
    <n v="226.9"/>
    <n v="106"/>
    <n v="38.57"/>
    <n v="182.2"/>
    <n v="77"/>
    <n v="15.49"/>
    <n v="203.9"/>
    <n v="107"/>
    <n v="9.18"/>
    <x v="43"/>
    <x v="5"/>
    <x v="43"/>
    <x v="1"/>
    <x v="1"/>
  </r>
  <r>
    <s v="AR"/>
    <x v="105"/>
    <s v="area_code_408"/>
    <x v="0"/>
    <x v="1"/>
    <n v="0"/>
    <n v="152.9"/>
    <n v="119"/>
    <n v="25.99"/>
    <n v="171.2"/>
    <n v="107"/>
    <n v="14.55"/>
    <n v="257"/>
    <n v="106"/>
    <n v="11.57"/>
    <x v="42"/>
    <x v="1"/>
    <x v="42"/>
    <x v="2"/>
    <x v="0"/>
  </r>
  <r>
    <s v="TX"/>
    <x v="53"/>
    <s v="area_code_408"/>
    <x v="0"/>
    <x v="0"/>
    <n v="27"/>
    <n v="156.69999999999999"/>
    <n v="51"/>
    <n v="26.64"/>
    <n v="236.5"/>
    <n v="118"/>
    <n v="20.100000000000001"/>
    <n v="123.2"/>
    <n v="111"/>
    <n v="5.54"/>
    <x v="44"/>
    <x v="3"/>
    <x v="44"/>
    <x v="2"/>
    <x v="0"/>
  </r>
  <r>
    <s v="AK"/>
    <x v="112"/>
    <s v="area_code_408"/>
    <x v="0"/>
    <x v="1"/>
    <n v="0"/>
    <n v="150.80000000000001"/>
    <n v="85"/>
    <n v="25.64"/>
    <n v="295.89999999999998"/>
    <n v="88"/>
    <n v="25.15"/>
    <n v="247.2"/>
    <n v="104"/>
    <n v="11.12"/>
    <x v="60"/>
    <x v="8"/>
    <x v="60"/>
    <x v="0"/>
    <x v="0"/>
  </r>
  <r>
    <s v="TN"/>
    <x v="167"/>
    <s v="area_code_415"/>
    <x v="0"/>
    <x v="1"/>
    <n v="0"/>
    <n v="221"/>
    <n v="126"/>
    <n v="37.57"/>
    <n v="204.5"/>
    <n v="110"/>
    <n v="17.38"/>
    <n v="118"/>
    <n v="98"/>
    <n v="5.31"/>
    <x v="36"/>
    <x v="0"/>
    <x v="36"/>
    <x v="4"/>
    <x v="0"/>
  </r>
  <r>
    <s v="NM"/>
    <x v="88"/>
    <s v="area_code_408"/>
    <x v="0"/>
    <x v="1"/>
    <n v="0"/>
    <n v="153.6"/>
    <n v="148"/>
    <n v="26.11"/>
    <n v="262.10000000000002"/>
    <n v="87"/>
    <n v="22.28"/>
    <n v="225.5"/>
    <n v="99"/>
    <n v="10.15"/>
    <x v="52"/>
    <x v="0"/>
    <x v="52"/>
    <x v="2"/>
    <x v="0"/>
  </r>
  <r>
    <s v="RI"/>
    <x v="69"/>
    <s v="area_code_415"/>
    <x v="0"/>
    <x v="1"/>
    <n v="0"/>
    <n v="180.5"/>
    <n v="126"/>
    <n v="30.69"/>
    <n v="230"/>
    <n v="98"/>
    <n v="19.55"/>
    <n v="232.5"/>
    <n v="73"/>
    <n v="10.46"/>
    <x v="15"/>
    <x v="0"/>
    <x v="15"/>
    <x v="1"/>
    <x v="0"/>
  </r>
  <r>
    <s v="AL"/>
    <x v="147"/>
    <s v="area_code_415"/>
    <x v="0"/>
    <x v="1"/>
    <n v="0"/>
    <n v="123.1"/>
    <n v="106"/>
    <n v="20.93"/>
    <n v="182"/>
    <n v="102"/>
    <n v="15.47"/>
    <n v="244.6"/>
    <n v="75"/>
    <n v="11.01"/>
    <x v="44"/>
    <x v="2"/>
    <x v="44"/>
    <x v="2"/>
    <x v="0"/>
  </r>
  <r>
    <s v="NC"/>
    <x v="14"/>
    <s v="area_code_510"/>
    <x v="0"/>
    <x v="1"/>
    <n v="0"/>
    <n v="165.7"/>
    <n v="94"/>
    <n v="28.17"/>
    <n v="257.39999999999998"/>
    <n v="80"/>
    <n v="21.88"/>
    <n v="170.8"/>
    <n v="114"/>
    <n v="7.69"/>
    <x v="13"/>
    <x v="4"/>
    <x v="13"/>
    <x v="0"/>
    <x v="0"/>
  </r>
  <r>
    <s v="SD"/>
    <x v="130"/>
    <s v="area_code_408"/>
    <x v="0"/>
    <x v="1"/>
    <n v="0"/>
    <n v="200.2"/>
    <n v="92"/>
    <n v="34.03"/>
    <n v="118.7"/>
    <n v="87"/>
    <n v="10.09"/>
    <n v="236.6"/>
    <n v="65"/>
    <n v="10.65"/>
    <x v="120"/>
    <x v="3"/>
    <x v="120"/>
    <x v="2"/>
    <x v="0"/>
  </r>
  <r>
    <s v="MT"/>
    <x v="143"/>
    <s v="area_code_510"/>
    <x v="0"/>
    <x v="1"/>
    <n v="0"/>
    <n v="154.80000000000001"/>
    <n v="82"/>
    <n v="26.32"/>
    <n v="287.7"/>
    <n v="109"/>
    <n v="24.45"/>
    <n v="208.4"/>
    <n v="80"/>
    <n v="9.3800000000000008"/>
    <x v="96"/>
    <x v="6"/>
    <x v="96"/>
    <x v="3"/>
    <x v="0"/>
  </r>
  <r>
    <s v="HI"/>
    <x v="102"/>
    <s v="area_code_510"/>
    <x v="0"/>
    <x v="1"/>
    <n v="0"/>
    <n v="125.4"/>
    <n v="116"/>
    <n v="21.32"/>
    <n v="261.5"/>
    <n v="95"/>
    <n v="22.23"/>
    <n v="241.6"/>
    <n v="104"/>
    <n v="10.87"/>
    <x v="37"/>
    <x v="6"/>
    <x v="37"/>
    <x v="2"/>
    <x v="0"/>
  </r>
  <r>
    <s v="MT"/>
    <x v="69"/>
    <s v="area_code_415"/>
    <x v="0"/>
    <x v="0"/>
    <n v="33"/>
    <n v="184.2"/>
    <n v="111"/>
    <n v="31.31"/>
    <n v="312.60000000000002"/>
    <n v="89"/>
    <n v="26.57"/>
    <n v="264"/>
    <n v="55"/>
    <n v="11.88"/>
    <x v="1"/>
    <x v="4"/>
    <x v="1"/>
    <x v="0"/>
    <x v="0"/>
  </r>
  <r>
    <s v="KY"/>
    <x v="102"/>
    <s v="area_code_415"/>
    <x v="0"/>
    <x v="0"/>
    <n v="24"/>
    <n v="274.7"/>
    <n v="99"/>
    <n v="46.7"/>
    <n v="193.5"/>
    <n v="118"/>
    <n v="16.45"/>
    <n v="299.60000000000002"/>
    <n v="109"/>
    <n v="13.48"/>
    <x v="81"/>
    <x v="0"/>
    <x v="81"/>
    <x v="3"/>
    <x v="0"/>
  </r>
  <r>
    <s v="DC"/>
    <x v="90"/>
    <s v="area_code_415"/>
    <x v="1"/>
    <x v="0"/>
    <n v="39"/>
    <n v="142"/>
    <n v="140"/>
    <n v="24.14"/>
    <n v="241.6"/>
    <n v="89"/>
    <n v="20.54"/>
    <n v="302"/>
    <n v="72"/>
    <n v="13.59"/>
    <x v="61"/>
    <x v="1"/>
    <x v="61"/>
    <x v="0"/>
    <x v="0"/>
  </r>
  <r>
    <s v="CO"/>
    <x v="69"/>
    <s v="area_code_408"/>
    <x v="1"/>
    <x v="0"/>
    <n v="21"/>
    <n v="151.5"/>
    <n v="99"/>
    <n v="25.76"/>
    <n v="147.80000000000001"/>
    <n v="89"/>
    <n v="12.56"/>
    <n v="210.4"/>
    <n v="114"/>
    <n v="9.4700000000000006"/>
    <x v="13"/>
    <x v="4"/>
    <x v="13"/>
    <x v="0"/>
    <x v="0"/>
  </r>
  <r>
    <s v="MI"/>
    <x v="9"/>
    <s v="area_code_415"/>
    <x v="0"/>
    <x v="1"/>
    <n v="0"/>
    <n v="124.8"/>
    <n v="114"/>
    <n v="21.22"/>
    <n v="133"/>
    <n v="121"/>
    <n v="11.31"/>
    <n v="160.30000000000001"/>
    <n v="85"/>
    <n v="7.21"/>
    <x v="15"/>
    <x v="2"/>
    <x v="15"/>
    <x v="3"/>
    <x v="0"/>
  </r>
  <r>
    <s v="NC"/>
    <x v="116"/>
    <s v="area_code_415"/>
    <x v="0"/>
    <x v="1"/>
    <n v="0"/>
    <n v="232.7"/>
    <n v="114"/>
    <n v="39.56"/>
    <n v="186.4"/>
    <n v="123"/>
    <n v="15.84"/>
    <n v="153.30000000000001"/>
    <n v="122"/>
    <n v="6.9"/>
    <x v="73"/>
    <x v="3"/>
    <x v="73"/>
    <x v="5"/>
    <x v="0"/>
  </r>
  <r>
    <s v="SC"/>
    <x v="43"/>
    <s v="area_code_408"/>
    <x v="0"/>
    <x v="1"/>
    <n v="0"/>
    <n v="288"/>
    <n v="120"/>
    <n v="48.96"/>
    <n v="255.8"/>
    <n v="90"/>
    <n v="21.74"/>
    <n v="233.4"/>
    <n v="99"/>
    <n v="10.5"/>
    <x v="83"/>
    <x v="4"/>
    <x v="83"/>
    <x v="1"/>
    <x v="1"/>
  </r>
  <r>
    <s v="CO"/>
    <x v="100"/>
    <s v="area_code_415"/>
    <x v="0"/>
    <x v="0"/>
    <n v="23"/>
    <n v="170.8"/>
    <n v="145"/>
    <n v="29.04"/>
    <n v="236.7"/>
    <n v="93"/>
    <n v="20.12"/>
    <n v="294.5"/>
    <n v="100"/>
    <n v="13.25"/>
    <x v="8"/>
    <x v="8"/>
    <x v="8"/>
    <x v="0"/>
    <x v="0"/>
  </r>
  <r>
    <s v="MN"/>
    <x v="2"/>
    <s v="area_code_415"/>
    <x v="0"/>
    <x v="1"/>
    <n v="0"/>
    <n v="216.1"/>
    <n v="114"/>
    <n v="36.74"/>
    <n v="197.5"/>
    <n v="107"/>
    <n v="16.79"/>
    <n v="217.8"/>
    <n v="104"/>
    <n v="9.8000000000000007"/>
    <x v="52"/>
    <x v="0"/>
    <x v="52"/>
    <x v="0"/>
    <x v="0"/>
  </r>
  <r>
    <s v="WY"/>
    <x v="130"/>
    <s v="area_code_415"/>
    <x v="0"/>
    <x v="1"/>
    <n v="0"/>
    <n v="138.69999999999999"/>
    <n v="100"/>
    <n v="23.58"/>
    <n v="215.4"/>
    <n v="58"/>
    <n v="18.309999999999999"/>
    <n v="164.3"/>
    <n v="98"/>
    <n v="7.39"/>
    <x v="140"/>
    <x v="4"/>
    <x v="140"/>
    <x v="2"/>
    <x v="0"/>
  </r>
  <r>
    <s v="FL"/>
    <x v="65"/>
    <s v="area_code_510"/>
    <x v="0"/>
    <x v="1"/>
    <n v="0"/>
    <n v="210.7"/>
    <n v="112"/>
    <n v="35.82"/>
    <n v="238.7"/>
    <n v="73"/>
    <n v="20.29"/>
    <n v="253.6"/>
    <n v="90"/>
    <n v="11.41"/>
    <x v="29"/>
    <x v="1"/>
    <x v="29"/>
    <x v="3"/>
    <x v="0"/>
  </r>
  <r>
    <s v="NY"/>
    <x v="18"/>
    <s v="area_code_415"/>
    <x v="0"/>
    <x v="1"/>
    <n v="0"/>
    <n v="181.8"/>
    <n v="117"/>
    <n v="30.91"/>
    <n v="158.1"/>
    <n v="91"/>
    <n v="13.44"/>
    <n v="266.2"/>
    <n v="123"/>
    <n v="11.98"/>
    <x v="84"/>
    <x v="6"/>
    <x v="84"/>
    <x v="1"/>
    <x v="0"/>
  </r>
  <r>
    <s v="OK"/>
    <x v="61"/>
    <s v="area_code_408"/>
    <x v="0"/>
    <x v="0"/>
    <n v="30"/>
    <n v="61.6"/>
    <n v="103"/>
    <n v="10.47"/>
    <n v="255.1"/>
    <n v="110"/>
    <n v="21.68"/>
    <n v="225.9"/>
    <n v="96"/>
    <n v="10.17"/>
    <x v="70"/>
    <x v="1"/>
    <x v="70"/>
    <x v="0"/>
    <x v="0"/>
  </r>
  <r>
    <s v="ME"/>
    <x v="103"/>
    <s v="area_code_510"/>
    <x v="0"/>
    <x v="1"/>
    <n v="0"/>
    <n v="207.7"/>
    <n v="85"/>
    <n v="35.31"/>
    <n v="196.7"/>
    <n v="112"/>
    <n v="16.72"/>
    <n v="261.7"/>
    <n v="83"/>
    <n v="11.78"/>
    <x v="36"/>
    <x v="0"/>
    <x v="36"/>
    <x v="0"/>
    <x v="0"/>
  </r>
  <r>
    <s v="NE"/>
    <x v="32"/>
    <s v="area_code_510"/>
    <x v="0"/>
    <x v="1"/>
    <n v="0"/>
    <n v="219.2"/>
    <n v="73"/>
    <n v="37.26"/>
    <n v="167"/>
    <n v="65"/>
    <n v="14.2"/>
    <n v="161.4"/>
    <n v="119"/>
    <n v="7.26"/>
    <x v="13"/>
    <x v="1"/>
    <x v="13"/>
    <x v="0"/>
    <x v="0"/>
  </r>
  <r>
    <s v="CT"/>
    <x v="43"/>
    <s v="area_code_415"/>
    <x v="0"/>
    <x v="1"/>
    <n v="0"/>
    <n v="245.9"/>
    <n v="73"/>
    <n v="41.8"/>
    <n v="240.1"/>
    <n v="87"/>
    <n v="20.41"/>
    <n v="158.69999999999999"/>
    <n v="89"/>
    <n v="7.14"/>
    <x v="56"/>
    <x v="1"/>
    <x v="56"/>
    <x v="3"/>
    <x v="0"/>
  </r>
  <r>
    <s v="DC"/>
    <x v="116"/>
    <s v="area_code_415"/>
    <x v="0"/>
    <x v="1"/>
    <n v="0"/>
    <n v="257.3"/>
    <n v="84"/>
    <n v="43.74"/>
    <n v="184.8"/>
    <n v="115"/>
    <n v="15.71"/>
    <n v="108.9"/>
    <n v="109"/>
    <n v="4.9000000000000004"/>
    <x v="88"/>
    <x v="2"/>
    <x v="88"/>
    <x v="1"/>
    <x v="0"/>
  </r>
  <r>
    <s v="OK"/>
    <x v="198"/>
    <s v="area_code_415"/>
    <x v="0"/>
    <x v="1"/>
    <n v="0"/>
    <n v="121.1"/>
    <n v="130"/>
    <n v="20.59"/>
    <n v="216"/>
    <n v="86"/>
    <n v="18.36"/>
    <n v="235.1"/>
    <n v="33"/>
    <n v="10.58"/>
    <x v="137"/>
    <x v="1"/>
    <x v="137"/>
    <x v="2"/>
    <x v="0"/>
  </r>
  <r>
    <s v="NJ"/>
    <x v="105"/>
    <s v="area_code_415"/>
    <x v="0"/>
    <x v="1"/>
    <n v="0"/>
    <n v="301.5"/>
    <n v="136"/>
    <n v="51.26"/>
    <n v="257.7"/>
    <n v="72"/>
    <n v="21.9"/>
    <n v="132.9"/>
    <n v="118"/>
    <n v="5.98"/>
    <x v="83"/>
    <x v="5"/>
    <x v="83"/>
    <x v="4"/>
    <x v="1"/>
  </r>
  <r>
    <s v="IA"/>
    <x v="194"/>
    <s v="area_code_415"/>
    <x v="0"/>
    <x v="1"/>
    <n v="0"/>
    <n v="233.9"/>
    <n v="96"/>
    <n v="39.76"/>
    <n v="218.9"/>
    <n v="111"/>
    <n v="18.61"/>
    <n v="182.9"/>
    <n v="109"/>
    <n v="8.23"/>
    <x v="17"/>
    <x v="0"/>
    <x v="17"/>
    <x v="1"/>
    <x v="0"/>
  </r>
  <r>
    <s v="VA"/>
    <x v="54"/>
    <s v="area_code_415"/>
    <x v="1"/>
    <x v="1"/>
    <n v="0"/>
    <n v="99.6"/>
    <n v="108"/>
    <n v="16.93"/>
    <n v="308.7"/>
    <n v="102"/>
    <n v="26.24"/>
    <n v="161.19999999999999"/>
    <n v="62"/>
    <n v="7.25"/>
    <x v="0"/>
    <x v="3"/>
    <x v="0"/>
    <x v="2"/>
    <x v="1"/>
  </r>
  <r>
    <s v="VA"/>
    <x v="161"/>
    <s v="area_code_510"/>
    <x v="0"/>
    <x v="1"/>
    <n v="0"/>
    <n v="169.8"/>
    <n v="123"/>
    <n v="28.87"/>
    <n v="183.1"/>
    <n v="94"/>
    <n v="15.56"/>
    <n v="395"/>
    <n v="72"/>
    <n v="17.77"/>
    <x v="8"/>
    <x v="2"/>
    <x v="8"/>
    <x v="2"/>
    <x v="0"/>
  </r>
  <r>
    <s v="NM"/>
    <x v="206"/>
    <s v="area_code_415"/>
    <x v="1"/>
    <x v="0"/>
    <n v="26"/>
    <n v="198.8"/>
    <n v="115"/>
    <n v="33.799999999999997"/>
    <n v="166.6"/>
    <n v="67"/>
    <n v="14.16"/>
    <n v="198.5"/>
    <n v="118"/>
    <n v="8.93"/>
    <x v="90"/>
    <x v="0"/>
    <x v="90"/>
    <x v="0"/>
    <x v="1"/>
  </r>
  <r>
    <s v="FL"/>
    <x v="13"/>
    <s v="area_code_408"/>
    <x v="1"/>
    <x v="1"/>
    <n v="0"/>
    <n v="116.2"/>
    <n v="86"/>
    <n v="19.75"/>
    <n v="229.7"/>
    <n v="127"/>
    <n v="19.52"/>
    <n v="204.2"/>
    <n v="109"/>
    <n v="9.19"/>
    <x v="3"/>
    <x v="0"/>
    <x v="3"/>
    <x v="3"/>
    <x v="0"/>
  </r>
  <r>
    <s v="RI"/>
    <x v="78"/>
    <s v="area_code_510"/>
    <x v="1"/>
    <x v="1"/>
    <n v="0"/>
    <n v="255.9"/>
    <n v="128"/>
    <n v="43.5"/>
    <n v="140.9"/>
    <n v="92"/>
    <n v="11.98"/>
    <n v="308.89999999999998"/>
    <n v="130"/>
    <n v="13.9"/>
    <x v="47"/>
    <x v="5"/>
    <x v="47"/>
    <x v="0"/>
    <x v="1"/>
  </r>
  <r>
    <s v="NJ"/>
    <x v="27"/>
    <s v="area_code_408"/>
    <x v="0"/>
    <x v="0"/>
    <n v="27"/>
    <n v="187.7"/>
    <n v="84"/>
    <n v="31.91"/>
    <n v="221"/>
    <n v="147"/>
    <n v="18.79"/>
    <n v="145.69999999999999"/>
    <n v="110"/>
    <n v="6.56"/>
    <x v="13"/>
    <x v="4"/>
    <x v="13"/>
    <x v="3"/>
    <x v="0"/>
  </r>
  <r>
    <s v="NE"/>
    <x v="61"/>
    <s v="area_code_408"/>
    <x v="0"/>
    <x v="0"/>
    <n v="21"/>
    <n v="195.9"/>
    <n v="91"/>
    <n v="33.299999999999997"/>
    <n v="213.9"/>
    <n v="84"/>
    <n v="18.18"/>
    <n v="88.2"/>
    <n v="111"/>
    <n v="3.97"/>
    <x v="53"/>
    <x v="4"/>
    <x v="53"/>
    <x v="1"/>
    <x v="0"/>
  </r>
  <r>
    <s v="WV"/>
    <x v="79"/>
    <s v="area_code_415"/>
    <x v="0"/>
    <x v="1"/>
    <n v="0"/>
    <n v="129.4"/>
    <n v="97"/>
    <n v="22"/>
    <n v="185.4"/>
    <n v="101"/>
    <n v="15.76"/>
    <n v="204.7"/>
    <n v="106"/>
    <n v="9.2100000000000009"/>
    <x v="151"/>
    <x v="5"/>
    <x v="151"/>
    <x v="2"/>
    <x v="0"/>
  </r>
  <r>
    <s v="WY"/>
    <x v="43"/>
    <s v="area_code_510"/>
    <x v="0"/>
    <x v="0"/>
    <n v="12"/>
    <n v="221"/>
    <n v="108"/>
    <n v="37.57"/>
    <n v="151"/>
    <n v="118"/>
    <n v="12.84"/>
    <n v="179"/>
    <n v="80"/>
    <n v="8.06"/>
    <x v="62"/>
    <x v="3"/>
    <x v="62"/>
    <x v="2"/>
    <x v="0"/>
  </r>
  <r>
    <s v="SC"/>
    <x v="153"/>
    <s v="area_code_408"/>
    <x v="0"/>
    <x v="1"/>
    <n v="0"/>
    <n v="140.5"/>
    <n v="92"/>
    <n v="23.89"/>
    <n v="186.8"/>
    <n v="96"/>
    <n v="15.88"/>
    <n v="227"/>
    <n v="89"/>
    <n v="10.220000000000001"/>
    <x v="17"/>
    <x v="1"/>
    <x v="17"/>
    <x v="2"/>
    <x v="0"/>
  </r>
  <r>
    <s v="MS"/>
    <x v="8"/>
    <s v="area_code_415"/>
    <x v="1"/>
    <x v="1"/>
    <n v="0"/>
    <n v="277.89999999999998"/>
    <n v="123"/>
    <n v="47.24"/>
    <n v="155.80000000000001"/>
    <n v="112"/>
    <n v="13.24"/>
    <n v="256.89999999999998"/>
    <n v="71"/>
    <n v="11.56"/>
    <x v="29"/>
    <x v="11"/>
    <x v="29"/>
    <x v="1"/>
    <x v="1"/>
  </r>
  <r>
    <s v="IL"/>
    <x v="93"/>
    <s v="area_code_415"/>
    <x v="0"/>
    <x v="1"/>
    <n v="0"/>
    <n v="109.1"/>
    <n v="117"/>
    <n v="18.55"/>
    <n v="217.4"/>
    <n v="124"/>
    <n v="18.48"/>
    <n v="188.4"/>
    <n v="141"/>
    <n v="8.48"/>
    <x v="75"/>
    <x v="3"/>
    <x v="75"/>
    <x v="1"/>
    <x v="0"/>
  </r>
  <r>
    <s v="OR"/>
    <x v="37"/>
    <s v="area_code_415"/>
    <x v="0"/>
    <x v="1"/>
    <n v="0"/>
    <n v="207.8"/>
    <n v="109"/>
    <n v="35.33"/>
    <n v="123.5"/>
    <n v="112"/>
    <n v="10.5"/>
    <n v="291.60000000000002"/>
    <n v="115"/>
    <n v="13.12"/>
    <x v="16"/>
    <x v="6"/>
    <x v="16"/>
    <x v="1"/>
    <x v="0"/>
  </r>
  <r>
    <s v="UT"/>
    <x v="51"/>
    <s v="area_code_510"/>
    <x v="0"/>
    <x v="1"/>
    <n v="0"/>
    <n v="205.9"/>
    <n v="96"/>
    <n v="35"/>
    <n v="257.10000000000002"/>
    <n v="94"/>
    <n v="21.85"/>
    <n v="209"/>
    <n v="63"/>
    <n v="9.4"/>
    <x v="47"/>
    <x v="10"/>
    <x v="47"/>
    <x v="1"/>
    <x v="0"/>
  </r>
  <r>
    <s v="IA"/>
    <x v="133"/>
    <s v="area_code_415"/>
    <x v="0"/>
    <x v="1"/>
    <n v="0"/>
    <n v="308.60000000000002"/>
    <n v="139"/>
    <n v="52.46"/>
    <n v="150.80000000000001"/>
    <n v="94"/>
    <n v="12.82"/>
    <n v="198.7"/>
    <n v="66"/>
    <n v="8.94"/>
    <x v="48"/>
    <x v="0"/>
    <x v="48"/>
    <x v="4"/>
    <x v="1"/>
  </r>
  <r>
    <s v="ME"/>
    <x v="91"/>
    <s v="area_code_510"/>
    <x v="0"/>
    <x v="1"/>
    <n v="0"/>
    <n v="242.6"/>
    <n v="69"/>
    <n v="41.24"/>
    <n v="209"/>
    <n v="117"/>
    <n v="17.77"/>
    <n v="219.7"/>
    <n v="82"/>
    <n v="9.89"/>
    <x v="90"/>
    <x v="3"/>
    <x v="90"/>
    <x v="2"/>
    <x v="0"/>
  </r>
  <r>
    <s v="WY"/>
    <x v="79"/>
    <s v="area_code_408"/>
    <x v="0"/>
    <x v="1"/>
    <n v="0"/>
    <n v="229.6"/>
    <n v="82"/>
    <n v="39.03"/>
    <n v="138.1"/>
    <n v="103"/>
    <n v="11.74"/>
    <n v="250.8"/>
    <n v="109"/>
    <n v="11.29"/>
    <x v="152"/>
    <x v="0"/>
    <x v="152"/>
    <x v="0"/>
    <x v="0"/>
  </r>
  <r>
    <s v="WI"/>
    <x v="66"/>
    <s v="area_code_510"/>
    <x v="0"/>
    <x v="0"/>
    <n v="28"/>
    <n v="166"/>
    <n v="62"/>
    <n v="28.22"/>
    <n v="233.9"/>
    <n v="88"/>
    <n v="19.88"/>
    <n v="170.1"/>
    <n v="84"/>
    <n v="7.65"/>
    <x v="18"/>
    <x v="0"/>
    <x v="18"/>
    <x v="2"/>
    <x v="0"/>
  </r>
  <r>
    <s v="SC"/>
    <x v="4"/>
    <s v="area_code_415"/>
    <x v="0"/>
    <x v="1"/>
    <n v="0"/>
    <n v="144.80000000000001"/>
    <n v="126"/>
    <n v="24.62"/>
    <n v="200.6"/>
    <n v="82"/>
    <n v="17.05"/>
    <n v="208.8"/>
    <n v="81"/>
    <n v="9.4"/>
    <x v="64"/>
    <x v="6"/>
    <x v="64"/>
    <x v="1"/>
    <x v="1"/>
  </r>
  <r>
    <s v="DC"/>
    <x v="132"/>
    <s v="area_code_510"/>
    <x v="1"/>
    <x v="1"/>
    <n v="0"/>
    <n v="106.1"/>
    <n v="77"/>
    <n v="18.04"/>
    <n v="123.5"/>
    <n v="100"/>
    <n v="10.5"/>
    <n v="96.4"/>
    <n v="92"/>
    <n v="4.34"/>
    <x v="89"/>
    <x v="0"/>
    <x v="89"/>
    <x v="1"/>
    <x v="0"/>
  </r>
  <r>
    <s v="CT"/>
    <x v="16"/>
    <s v="area_code_415"/>
    <x v="0"/>
    <x v="1"/>
    <n v="0"/>
    <n v="221.8"/>
    <n v="84"/>
    <n v="37.71"/>
    <n v="166"/>
    <n v="125"/>
    <n v="14.11"/>
    <n v="210.2"/>
    <n v="72"/>
    <n v="9.4600000000000009"/>
    <x v="32"/>
    <x v="4"/>
    <x v="32"/>
    <x v="0"/>
    <x v="0"/>
  </r>
  <r>
    <s v="OR"/>
    <x v="24"/>
    <s v="area_code_415"/>
    <x v="0"/>
    <x v="1"/>
    <n v="0"/>
    <n v="204.6"/>
    <n v="98"/>
    <n v="34.78"/>
    <n v="212.5"/>
    <n v="90"/>
    <n v="18.059999999999999"/>
    <n v="182.1"/>
    <n v="95"/>
    <n v="8.19"/>
    <x v="52"/>
    <x v="2"/>
    <x v="52"/>
    <x v="2"/>
    <x v="0"/>
  </r>
  <r>
    <s v="NV"/>
    <x v="73"/>
    <s v="area_code_415"/>
    <x v="0"/>
    <x v="0"/>
    <n v="44"/>
    <n v="152"/>
    <n v="95"/>
    <n v="25.84"/>
    <n v="274.89999999999998"/>
    <n v="73"/>
    <n v="23.37"/>
    <n v="162.4"/>
    <n v="121"/>
    <n v="7.31"/>
    <x v="13"/>
    <x v="8"/>
    <x v="13"/>
    <x v="2"/>
    <x v="0"/>
  </r>
  <r>
    <s v="MN"/>
    <x v="41"/>
    <s v="area_code_415"/>
    <x v="1"/>
    <x v="0"/>
    <n v="29"/>
    <n v="260.8"/>
    <n v="81"/>
    <n v="44.34"/>
    <n v="163.69999999999999"/>
    <n v="112"/>
    <n v="13.91"/>
    <n v="271.7"/>
    <n v="117"/>
    <n v="12.23"/>
    <x v="153"/>
    <x v="3"/>
    <x v="153"/>
    <x v="0"/>
    <x v="1"/>
  </r>
  <r>
    <s v="KS"/>
    <x v="134"/>
    <s v="area_code_415"/>
    <x v="0"/>
    <x v="1"/>
    <n v="0"/>
    <n v="177.9"/>
    <n v="83"/>
    <n v="30.24"/>
    <n v="167.3"/>
    <n v="84"/>
    <n v="14.22"/>
    <n v="223.7"/>
    <n v="142"/>
    <n v="10.07"/>
    <x v="126"/>
    <x v="10"/>
    <x v="126"/>
    <x v="1"/>
    <x v="0"/>
  </r>
  <r>
    <s v="RI"/>
    <x v="25"/>
    <s v="area_code_415"/>
    <x v="0"/>
    <x v="1"/>
    <n v="0"/>
    <n v="235.1"/>
    <n v="97"/>
    <n v="39.97"/>
    <n v="196.8"/>
    <n v="104"/>
    <n v="16.73"/>
    <n v="259.7"/>
    <n v="110"/>
    <n v="11.69"/>
    <x v="99"/>
    <x v="2"/>
    <x v="99"/>
    <x v="3"/>
    <x v="0"/>
  </r>
  <r>
    <s v="DC"/>
    <x v="147"/>
    <s v="area_code_415"/>
    <x v="0"/>
    <x v="1"/>
    <n v="0"/>
    <n v="186.8"/>
    <n v="92"/>
    <n v="31.76"/>
    <n v="173.7"/>
    <n v="123"/>
    <n v="14.76"/>
    <n v="250.9"/>
    <n v="131"/>
    <n v="11.29"/>
    <x v="84"/>
    <x v="4"/>
    <x v="84"/>
    <x v="2"/>
    <x v="0"/>
  </r>
  <r>
    <s v="IL"/>
    <x v="51"/>
    <s v="area_code_408"/>
    <x v="1"/>
    <x v="1"/>
    <n v="0"/>
    <n v="268.39999999999998"/>
    <n v="81"/>
    <n v="45.63"/>
    <n v="174.4"/>
    <n v="115"/>
    <n v="14.82"/>
    <n v="193.5"/>
    <n v="96"/>
    <n v="8.7100000000000009"/>
    <x v="43"/>
    <x v="4"/>
    <x v="43"/>
    <x v="0"/>
    <x v="0"/>
  </r>
  <r>
    <s v="UT"/>
    <x v="180"/>
    <s v="area_code_510"/>
    <x v="0"/>
    <x v="1"/>
    <n v="0"/>
    <n v="192.1"/>
    <n v="95"/>
    <n v="32.659999999999997"/>
    <n v="249.8"/>
    <n v="94"/>
    <n v="21.23"/>
    <n v="132.6"/>
    <n v="100"/>
    <n v="5.97"/>
    <x v="48"/>
    <x v="0"/>
    <x v="48"/>
    <x v="3"/>
    <x v="0"/>
  </r>
  <r>
    <s v="MN"/>
    <x v="41"/>
    <s v="area_code_415"/>
    <x v="0"/>
    <x v="1"/>
    <n v="0"/>
    <n v="240.7"/>
    <n v="82"/>
    <n v="40.92"/>
    <n v="269.39999999999998"/>
    <n v="85"/>
    <n v="22.9"/>
    <n v="187.1"/>
    <n v="74"/>
    <n v="8.42"/>
    <x v="3"/>
    <x v="0"/>
    <x v="3"/>
    <x v="1"/>
    <x v="1"/>
  </r>
  <r>
    <s v="WI"/>
    <x v="145"/>
    <s v="area_code_408"/>
    <x v="0"/>
    <x v="1"/>
    <n v="0"/>
    <n v="179.9"/>
    <n v="113"/>
    <n v="30.58"/>
    <n v="149.80000000000001"/>
    <n v="112"/>
    <n v="12.73"/>
    <n v="168.2"/>
    <n v="79"/>
    <n v="7.57"/>
    <x v="52"/>
    <x v="2"/>
    <x v="52"/>
    <x v="2"/>
    <x v="0"/>
  </r>
  <r>
    <s v="MA"/>
    <x v="79"/>
    <s v="area_code_415"/>
    <x v="0"/>
    <x v="1"/>
    <n v="0"/>
    <n v="175.8"/>
    <n v="89"/>
    <n v="29.89"/>
    <n v="274.3"/>
    <n v="119"/>
    <n v="23.32"/>
    <n v="226.6"/>
    <n v="69"/>
    <n v="10.199999999999999"/>
    <x v="70"/>
    <x v="4"/>
    <x v="70"/>
    <x v="0"/>
    <x v="0"/>
  </r>
  <r>
    <s v="AL"/>
    <x v="27"/>
    <s v="area_code_510"/>
    <x v="0"/>
    <x v="1"/>
    <n v="0"/>
    <n v="109.4"/>
    <n v="91"/>
    <n v="18.600000000000001"/>
    <n v="207.5"/>
    <n v="111"/>
    <n v="17.64"/>
    <n v="135"/>
    <n v="107"/>
    <n v="6.08"/>
    <x v="43"/>
    <x v="1"/>
    <x v="43"/>
    <x v="1"/>
    <x v="0"/>
  </r>
  <r>
    <s v="SC"/>
    <x v="127"/>
    <s v="area_code_510"/>
    <x v="0"/>
    <x v="1"/>
    <n v="0"/>
    <n v="255.1"/>
    <n v="124"/>
    <n v="43.37"/>
    <n v="230.6"/>
    <n v="110"/>
    <n v="19.600000000000001"/>
    <n v="218"/>
    <n v="69"/>
    <n v="9.81"/>
    <x v="31"/>
    <x v="1"/>
    <x v="31"/>
    <x v="3"/>
    <x v="1"/>
  </r>
  <r>
    <s v="WI"/>
    <x v="103"/>
    <s v="area_code_415"/>
    <x v="1"/>
    <x v="1"/>
    <n v="0"/>
    <n v="208.7"/>
    <n v="84"/>
    <n v="35.479999999999997"/>
    <n v="173.3"/>
    <n v="88"/>
    <n v="14.73"/>
    <n v="264.7"/>
    <n v="107"/>
    <n v="11.91"/>
    <x v="24"/>
    <x v="0"/>
    <x v="24"/>
    <x v="3"/>
    <x v="0"/>
  </r>
  <r>
    <s v="VT"/>
    <x v="153"/>
    <s v="area_code_510"/>
    <x v="0"/>
    <x v="0"/>
    <n v="20"/>
    <n v="214.6"/>
    <n v="108"/>
    <n v="36.479999999999997"/>
    <n v="96.6"/>
    <n v="82"/>
    <n v="8.2100000000000009"/>
    <n v="170.7"/>
    <n v="145"/>
    <n v="7.68"/>
    <x v="57"/>
    <x v="1"/>
    <x v="57"/>
    <x v="0"/>
    <x v="0"/>
  </r>
  <r>
    <s v="CT"/>
    <x v="52"/>
    <s v="area_code_408"/>
    <x v="0"/>
    <x v="1"/>
    <n v="0"/>
    <n v="49.2"/>
    <n v="121"/>
    <n v="8.36"/>
    <n v="143.9"/>
    <n v="136"/>
    <n v="12.23"/>
    <n v="203"/>
    <n v="97"/>
    <n v="9.14"/>
    <x v="47"/>
    <x v="15"/>
    <x v="47"/>
    <x v="0"/>
    <x v="0"/>
  </r>
  <r>
    <s v="OR"/>
    <x v="145"/>
    <s v="area_code_510"/>
    <x v="0"/>
    <x v="1"/>
    <n v="0"/>
    <n v="141.30000000000001"/>
    <n v="133"/>
    <n v="24.02"/>
    <n v="134.9"/>
    <n v="96"/>
    <n v="11.47"/>
    <n v="227.5"/>
    <n v="97"/>
    <n v="10.24"/>
    <x v="7"/>
    <x v="0"/>
    <x v="7"/>
    <x v="2"/>
    <x v="0"/>
  </r>
  <r>
    <s v="HI"/>
    <x v="116"/>
    <s v="area_code_415"/>
    <x v="0"/>
    <x v="1"/>
    <n v="0"/>
    <n v="253.2"/>
    <n v="89"/>
    <n v="43.04"/>
    <n v="237.9"/>
    <n v="114"/>
    <n v="20.22"/>
    <n v="154.30000000000001"/>
    <n v="85"/>
    <n v="6.94"/>
    <x v="84"/>
    <x v="2"/>
    <x v="84"/>
    <x v="4"/>
    <x v="0"/>
  </r>
  <r>
    <s v="WV"/>
    <x v="41"/>
    <s v="area_code_415"/>
    <x v="0"/>
    <x v="1"/>
    <n v="0"/>
    <n v="206"/>
    <n v="128"/>
    <n v="35.020000000000003"/>
    <n v="198.1"/>
    <n v="71"/>
    <n v="16.84"/>
    <n v="135.9"/>
    <n v="116"/>
    <n v="6.12"/>
    <x v="32"/>
    <x v="0"/>
    <x v="32"/>
    <x v="1"/>
    <x v="0"/>
  </r>
  <r>
    <s v="ME"/>
    <x v="71"/>
    <s v="area_code_415"/>
    <x v="0"/>
    <x v="0"/>
    <n v="31"/>
    <n v="71.2"/>
    <n v="58"/>
    <n v="12.1"/>
    <n v="124.7"/>
    <n v="105"/>
    <n v="10.6"/>
    <n v="155.5"/>
    <n v="108"/>
    <n v="7"/>
    <x v="50"/>
    <x v="0"/>
    <x v="50"/>
    <x v="1"/>
    <x v="0"/>
  </r>
  <r>
    <s v="WV"/>
    <x v="69"/>
    <s v="area_code_510"/>
    <x v="0"/>
    <x v="1"/>
    <n v="0"/>
    <n v="261.8"/>
    <n v="69"/>
    <n v="44.51"/>
    <n v="245"/>
    <n v="135"/>
    <n v="20.83"/>
    <n v="202.1"/>
    <n v="94"/>
    <n v="9.09"/>
    <x v="20"/>
    <x v="4"/>
    <x v="20"/>
    <x v="1"/>
    <x v="1"/>
  </r>
  <r>
    <s v="NE"/>
    <x v="146"/>
    <s v="area_code_510"/>
    <x v="0"/>
    <x v="1"/>
    <n v="0"/>
    <n v="191.3"/>
    <n v="134"/>
    <n v="32.520000000000003"/>
    <n v="261.5"/>
    <n v="113"/>
    <n v="22.23"/>
    <n v="182.3"/>
    <n v="111"/>
    <n v="8.1999999999999993"/>
    <x v="13"/>
    <x v="0"/>
    <x v="13"/>
    <x v="0"/>
    <x v="0"/>
  </r>
  <r>
    <s v="DC"/>
    <x v="56"/>
    <s v="area_code_415"/>
    <x v="0"/>
    <x v="1"/>
    <n v="0"/>
    <n v="133.30000000000001"/>
    <n v="101"/>
    <n v="22.66"/>
    <n v="255.5"/>
    <n v="127"/>
    <n v="21.72"/>
    <n v="228.6"/>
    <n v="68"/>
    <n v="10.29"/>
    <x v="43"/>
    <x v="5"/>
    <x v="43"/>
    <x v="1"/>
    <x v="0"/>
  </r>
  <r>
    <s v="NH"/>
    <x v="43"/>
    <s v="area_code_408"/>
    <x v="0"/>
    <x v="0"/>
    <n v="24"/>
    <n v="183.6"/>
    <n v="138"/>
    <n v="31.21"/>
    <n v="203.8"/>
    <n v="90"/>
    <n v="17.32"/>
    <n v="166.9"/>
    <n v="89"/>
    <n v="7.51"/>
    <x v="120"/>
    <x v="0"/>
    <x v="120"/>
    <x v="2"/>
    <x v="0"/>
  </r>
  <r>
    <s v="MD"/>
    <x v="164"/>
    <s v="area_code_415"/>
    <x v="0"/>
    <x v="0"/>
    <n v="30"/>
    <n v="155.19999999999999"/>
    <n v="116"/>
    <n v="26.38"/>
    <n v="195.5"/>
    <n v="50"/>
    <n v="16.62"/>
    <n v="170.1"/>
    <n v="108"/>
    <n v="7.65"/>
    <x v="93"/>
    <x v="3"/>
    <x v="93"/>
    <x v="0"/>
    <x v="0"/>
  </r>
  <r>
    <s v="NH"/>
    <x v="35"/>
    <s v="area_code_408"/>
    <x v="0"/>
    <x v="0"/>
    <n v="28"/>
    <n v="283.10000000000002"/>
    <n v="93"/>
    <n v="48.13"/>
    <n v="185.4"/>
    <n v="98"/>
    <n v="15.76"/>
    <n v="312.8"/>
    <n v="78"/>
    <n v="14.08"/>
    <x v="49"/>
    <x v="10"/>
    <x v="49"/>
    <x v="0"/>
    <x v="0"/>
  </r>
  <r>
    <s v="WV"/>
    <x v="1"/>
    <s v="area_code_510"/>
    <x v="0"/>
    <x v="0"/>
    <n v="50"/>
    <n v="186.5"/>
    <n v="94"/>
    <n v="31.71"/>
    <n v="178"/>
    <n v="106"/>
    <n v="15.13"/>
    <n v="215.6"/>
    <n v="100"/>
    <n v="9.6999999999999993"/>
    <x v="47"/>
    <x v="4"/>
    <x v="47"/>
    <x v="2"/>
    <x v="0"/>
  </r>
  <r>
    <s v="IL"/>
    <x v="34"/>
    <s v="area_code_415"/>
    <x v="0"/>
    <x v="0"/>
    <n v="38"/>
    <n v="163.30000000000001"/>
    <n v="104"/>
    <n v="27.76"/>
    <n v="136"/>
    <n v="114"/>
    <n v="11.56"/>
    <n v="249.1"/>
    <n v="127"/>
    <n v="11.21"/>
    <x v="146"/>
    <x v="3"/>
    <x v="146"/>
    <x v="1"/>
    <x v="0"/>
  </r>
  <r>
    <s v="OK"/>
    <x v="2"/>
    <s v="area_code_510"/>
    <x v="0"/>
    <x v="1"/>
    <n v="0"/>
    <n v="203.4"/>
    <n v="125"/>
    <n v="34.58"/>
    <n v="182.9"/>
    <n v="88"/>
    <n v="15.55"/>
    <n v="213.7"/>
    <n v="121"/>
    <n v="9.6199999999999992"/>
    <x v="12"/>
    <x v="5"/>
    <x v="12"/>
    <x v="0"/>
    <x v="0"/>
  </r>
  <r>
    <s v="NH"/>
    <x v="115"/>
    <s v="area_code_415"/>
    <x v="0"/>
    <x v="0"/>
    <n v="19"/>
    <n v="178.1"/>
    <n v="110"/>
    <n v="30.28"/>
    <n v="212.8"/>
    <n v="100"/>
    <n v="18.09"/>
    <n v="226.3"/>
    <n v="123"/>
    <n v="10.18"/>
    <x v="13"/>
    <x v="3"/>
    <x v="13"/>
    <x v="0"/>
    <x v="0"/>
  </r>
  <r>
    <s v="MI"/>
    <x v="124"/>
    <s v="area_code_415"/>
    <x v="0"/>
    <x v="1"/>
    <n v="0"/>
    <n v="195.9"/>
    <n v="103"/>
    <n v="33.299999999999997"/>
    <n v="89.1"/>
    <n v="95"/>
    <n v="7.57"/>
    <n v="302.2"/>
    <n v="82"/>
    <n v="13.6"/>
    <x v="19"/>
    <x v="0"/>
    <x v="19"/>
    <x v="0"/>
    <x v="0"/>
  </r>
  <r>
    <s v="HI"/>
    <x v="116"/>
    <s v="area_code_415"/>
    <x v="0"/>
    <x v="0"/>
    <n v="24"/>
    <n v="114.1"/>
    <n v="95"/>
    <n v="19.399999999999999"/>
    <n v="161.5"/>
    <n v="86"/>
    <n v="13.73"/>
    <n v="176.3"/>
    <n v="90"/>
    <n v="7.93"/>
    <x v="14"/>
    <x v="6"/>
    <x v="14"/>
    <x v="2"/>
    <x v="0"/>
  </r>
  <r>
    <s v="NJ"/>
    <x v="178"/>
    <s v="area_code_415"/>
    <x v="0"/>
    <x v="1"/>
    <n v="0"/>
    <n v="279.10000000000002"/>
    <n v="124"/>
    <n v="47.45"/>
    <n v="180.5"/>
    <n v="108"/>
    <n v="15.34"/>
    <n v="217.5"/>
    <n v="104"/>
    <n v="9.7899999999999991"/>
    <x v="17"/>
    <x v="12"/>
    <x v="17"/>
    <x v="2"/>
    <x v="1"/>
  </r>
  <r>
    <s v="WV"/>
    <x v="97"/>
    <s v="area_code_408"/>
    <x v="0"/>
    <x v="1"/>
    <n v="0"/>
    <n v="169.3"/>
    <n v="111"/>
    <n v="28.78"/>
    <n v="139.5"/>
    <n v="69"/>
    <n v="11.86"/>
    <n v="197"/>
    <n v="87"/>
    <n v="8.8699999999999992"/>
    <x v="42"/>
    <x v="0"/>
    <x v="42"/>
    <x v="1"/>
    <x v="0"/>
  </r>
  <r>
    <s v="NC"/>
    <x v="6"/>
    <s v="area_code_510"/>
    <x v="0"/>
    <x v="1"/>
    <n v="0"/>
    <n v="214.4"/>
    <n v="94"/>
    <n v="36.450000000000003"/>
    <n v="138"/>
    <n v="149"/>
    <n v="11.73"/>
    <n v="148.69999999999999"/>
    <n v="102"/>
    <n v="6.69"/>
    <x v="79"/>
    <x v="8"/>
    <x v="79"/>
    <x v="2"/>
    <x v="0"/>
  </r>
  <r>
    <s v="PA"/>
    <x v="73"/>
    <s v="area_code_415"/>
    <x v="1"/>
    <x v="1"/>
    <n v="0"/>
    <n v="255.8"/>
    <n v="125"/>
    <n v="43.49"/>
    <n v="142.69999999999999"/>
    <n v="111"/>
    <n v="12.13"/>
    <n v="181.2"/>
    <n v="101"/>
    <n v="8.15"/>
    <x v="50"/>
    <x v="0"/>
    <x v="50"/>
    <x v="1"/>
    <x v="0"/>
  </r>
  <r>
    <s v="MI"/>
    <x v="112"/>
    <s v="area_code_408"/>
    <x v="0"/>
    <x v="1"/>
    <n v="0"/>
    <n v="148.19999999999999"/>
    <n v="71"/>
    <n v="25.19"/>
    <n v="285.10000000000002"/>
    <n v="91"/>
    <n v="24.23"/>
    <n v="166.4"/>
    <n v="155"/>
    <n v="7.49"/>
    <x v="46"/>
    <x v="0"/>
    <x v="46"/>
    <x v="2"/>
    <x v="0"/>
  </r>
  <r>
    <s v="WY"/>
    <x v="66"/>
    <s v="area_code_415"/>
    <x v="0"/>
    <x v="1"/>
    <n v="0"/>
    <n v="119.3"/>
    <n v="93"/>
    <n v="20.28"/>
    <n v="223.9"/>
    <n v="103"/>
    <n v="19.03"/>
    <n v="211.9"/>
    <n v="122"/>
    <n v="9.5399999999999991"/>
    <x v="6"/>
    <x v="4"/>
    <x v="6"/>
    <x v="2"/>
    <x v="0"/>
  </r>
  <r>
    <s v="NJ"/>
    <x v="76"/>
    <s v="area_code_510"/>
    <x v="0"/>
    <x v="1"/>
    <n v="0"/>
    <n v="245.2"/>
    <n v="91"/>
    <n v="41.68"/>
    <n v="217.2"/>
    <n v="92"/>
    <n v="18.46"/>
    <n v="243.1"/>
    <n v="128"/>
    <n v="10.94"/>
    <x v="55"/>
    <x v="3"/>
    <x v="55"/>
    <x v="1"/>
    <x v="1"/>
  </r>
  <r>
    <s v="NM"/>
    <x v="124"/>
    <s v="area_code_408"/>
    <x v="0"/>
    <x v="1"/>
    <n v="0"/>
    <n v="172.4"/>
    <n v="114"/>
    <n v="29.31"/>
    <n v="256.60000000000002"/>
    <n v="69"/>
    <n v="21.81"/>
    <n v="235.3"/>
    <n v="104"/>
    <n v="10.59"/>
    <x v="77"/>
    <x v="13"/>
    <x v="77"/>
    <x v="2"/>
    <x v="0"/>
  </r>
  <r>
    <s v="MS"/>
    <x v="79"/>
    <s v="area_code_510"/>
    <x v="1"/>
    <x v="0"/>
    <n v="30"/>
    <n v="175.3"/>
    <n v="107"/>
    <n v="29.8"/>
    <n v="153.30000000000001"/>
    <n v="116"/>
    <n v="13.03"/>
    <n v="233.6"/>
    <n v="85"/>
    <n v="10.51"/>
    <x v="22"/>
    <x v="0"/>
    <x v="22"/>
    <x v="0"/>
    <x v="0"/>
  </r>
  <r>
    <s v="OK"/>
    <x v="76"/>
    <s v="area_code_510"/>
    <x v="0"/>
    <x v="0"/>
    <n v="27"/>
    <n v="2.6"/>
    <n v="113"/>
    <n v="0.44"/>
    <n v="254"/>
    <n v="102"/>
    <n v="21.59"/>
    <n v="242.7"/>
    <n v="156"/>
    <n v="10.92"/>
    <x v="29"/>
    <x v="1"/>
    <x v="29"/>
    <x v="3"/>
    <x v="0"/>
  </r>
  <r>
    <s v="ID"/>
    <x v="143"/>
    <s v="area_code_415"/>
    <x v="0"/>
    <x v="1"/>
    <n v="0"/>
    <n v="184.1"/>
    <n v="143"/>
    <n v="31.3"/>
    <n v="211.7"/>
    <n v="105"/>
    <n v="17.989999999999998"/>
    <n v="243"/>
    <n v="116"/>
    <n v="10.93"/>
    <x v="79"/>
    <x v="5"/>
    <x v="79"/>
    <x v="0"/>
    <x v="0"/>
  </r>
  <r>
    <s v="AL"/>
    <x v="105"/>
    <s v="area_code_415"/>
    <x v="0"/>
    <x v="1"/>
    <n v="0"/>
    <n v="181.9"/>
    <n v="90"/>
    <n v="30.92"/>
    <n v="151.5"/>
    <n v="87"/>
    <n v="12.88"/>
    <n v="143"/>
    <n v="100"/>
    <n v="6.44"/>
    <x v="4"/>
    <x v="0"/>
    <x v="4"/>
    <x v="0"/>
    <x v="0"/>
  </r>
  <r>
    <s v="HI"/>
    <x v="158"/>
    <s v="area_code_510"/>
    <x v="0"/>
    <x v="1"/>
    <n v="0"/>
    <n v="189.8"/>
    <n v="122"/>
    <n v="32.270000000000003"/>
    <n v="173.7"/>
    <n v="85"/>
    <n v="14.76"/>
    <n v="257.10000000000002"/>
    <n v="84"/>
    <n v="11.57"/>
    <x v="19"/>
    <x v="8"/>
    <x v="19"/>
    <x v="1"/>
    <x v="0"/>
  </r>
  <r>
    <s v="VA"/>
    <x v="138"/>
    <s v="area_code_415"/>
    <x v="0"/>
    <x v="1"/>
    <n v="0"/>
    <n v="223.2"/>
    <n v="142"/>
    <n v="37.94"/>
    <n v="216.5"/>
    <n v="114"/>
    <n v="18.399999999999999"/>
    <n v="214.7"/>
    <n v="111"/>
    <n v="9.66"/>
    <x v="70"/>
    <x v="5"/>
    <x v="70"/>
    <x v="0"/>
    <x v="0"/>
  </r>
  <r>
    <s v="WV"/>
    <x v="79"/>
    <s v="area_code_408"/>
    <x v="0"/>
    <x v="0"/>
    <n v="31"/>
    <n v="216"/>
    <n v="94"/>
    <n v="36.72"/>
    <n v="225.1"/>
    <n v="123"/>
    <n v="19.13"/>
    <n v="234.7"/>
    <n v="109"/>
    <n v="10.56"/>
    <x v="85"/>
    <x v="8"/>
    <x v="85"/>
    <x v="2"/>
    <x v="0"/>
  </r>
  <r>
    <s v="DE"/>
    <x v="53"/>
    <s v="area_code_415"/>
    <x v="0"/>
    <x v="1"/>
    <n v="0"/>
    <n v="198.5"/>
    <n v="124"/>
    <n v="33.75"/>
    <n v="266.60000000000002"/>
    <n v="100"/>
    <n v="22.66"/>
    <n v="243.3"/>
    <n v="80"/>
    <n v="10.95"/>
    <x v="40"/>
    <x v="2"/>
    <x v="40"/>
    <x v="2"/>
    <x v="0"/>
  </r>
  <r>
    <s v="CA"/>
    <x v="111"/>
    <s v="area_code_408"/>
    <x v="0"/>
    <x v="1"/>
    <n v="0"/>
    <n v="159.5"/>
    <n v="115"/>
    <n v="27.12"/>
    <n v="195.4"/>
    <n v="118"/>
    <n v="16.61"/>
    <n v="102.4"/>
    <n v="86"/>
    <n v="4.6100000000000003"/>
    <x v="5"/>
    <x v="2"/>
    <x v="5"/>
    <x v="0"/>
    <x v="0"/>
  </r>
  <r>
    <s v="PA"/>
    <x v="72"/>
    <s v="area_code_408"/>
    <x v="0"/>
    <x v="0"/>
    <n v="40"/>
    <n v="105"/>
    <n v="78"/>
    <n v="17.850000000000001"/>
    <n v="180.6"/>
    <n v="100"/>
    <n v="15.35"/>
    <n v="174.1"/>
    <n v="115"/>
    <n v="7.83"/>
    <x v="39"/>
    <x v="5"/>
    <x v="39"/>
    <x v="2"/>
    <x v="1"/>
  </r>
  <r>
    <s v="CO"/>
    <x v="0"/>
    <s v="area_code_415"/>
    <x v="0"/>
    <x v="1"/>
    <n v="0"/>
    <n v="204.5"/>
    <n v="108"/>
    <n v="34.770000000000003"/>
    <n v="162.4"/>
    <n v="110"/>
    <n v="13.8"/>
    <n v="155"/>
    <n v="102"/>
    <n v="6.98"/>
    <x v="83"/>
    <x v="8"/>
    <x v="83"/>
    <x v="3"/>
    <x v="0"/>
  </r>
  <r>
    <s v="MD"/>
    <x v="5"/>
    <s v="area_code_408"/>
    <x v="0"/>
    <x v="1"/>
    <n v="0"/>
    <n v="274"/>
    <n v="92"/>
    <n v="46.58"/>
    <n v="231.8"/>
    <n v="82"/>
    <n v="19.7"/>
    <n v="283.60000000000002"/>
    <n v="83"/>
    <n v="12.76"/>
    <x v="46"/>
    <x v="8"/>
    <x v="46"/>
    <x v="1"/>
    <x v="1"/>
  </r>
  <r>
    <s v="KS"/>
    <x v="157"/>
    <s v="area_code_510"/>
    <x v="0"/>
    <x v="1"/>
    <n v="0"/>
    <n v="137.80000000000001"/>
    <n v="97"/>
    <n v="23.43"/>
    <n v="187.7"/>
    <n v="118"/>
    <n v="15.95"/>
    <n v="146.4"/>
    <n v="85"/>
    <n v="6.59"/>
    <x v="6"/>
    <x v="3"/>
    <x v="6"/>
    <x v="0"/>
    <x v="0"/>
  </r>
  <r>
    <s v="MI"/>
    <x v="59"/>
    <s v="area_code_415"/>
    <x v="0"/>
    <x v="1"/>
    <n v="0"/>
    <n v="179.4"/>
    <n v="94"/>
    <n v="30.5"/>
    <n v="270.39999999999998"/>
    <n v="92"/>
    <n v="22.98"/>
    <n v="191"/>
    <n v="88"/>
    <n v="8.59"/>
    <x v="57"/>
    <x v="4"/>
    <x v="57"/>
    <x v="1"/>
    <x v="0"/>
  </r>
  <r>
    <s v="AK"/>
    <x v="132"/>
    <s v="area_code_408"/>
    <x v="0"/>
    <x v="0"/>
    <n v="39"/>
    <n v="139.30000000000001"/>
    <n v="101"/>
    <n v="23.68"/>
    <n v="178.3"/>
    <n v="117"/>
    <n v="15.16"/>
    <n v="246.5"/>
    <n v="104"/>
    <n v="11.09"/>
    <x v="111"/>
    <x v="8"/>
    <x v="111"/>
    <x v="3"/>
    <x v="0"/>
  </r>
  <r>
    <s v="OH"/>
    <x v="169"/>
    <s v="area_code_415"/>
    <x v="0"/>
    <x v="1"/>
    <n v="0"/>
    <n v="7.8"/>
    <n v="86"/>
    <n v="1.33"/>
    <n v="171.4"/>
    <n v="100"/>
    <n v="14.57"/>
    <n v="186.5"/>
    <n v="80"/>
    <n v="8.39"/>
    <x v="89"/>
    <x v="5"/>
    <x v="89"/>
    <x v="2"/>
    <x v="0"/>
  </r>
  <r>
    <s v="IN"/>
    <x v="39"/>
    <s v="area_code_415"/>
    <x v="0"/>
    <x v="0"/>
    <n v="23"/>
    <n v="183.1"/>
    <n v="88"/>
    <n v="31.13"/>
    <n v="147.4"/>
    <n v="89"/>
    <n v="12.53"/>
    <n v="350.2"/>
    <n v="108"/>
    <n v="15.76"/>
    <x v="61"/>
    <x v="2"/>
    <x v="61"/>
    <x v="0"/>
    <x v="0"/>
  </r>
  <r>
    <s v="KS"/>
    <x v="106"/>
    <s v="area_code_415"/>
    <x v="0"/>
    <x v="1"/>
    <n v="0"/>
    <n v="140"/>
    <n v="106"/>
    <n v="23.8"/>
    <n v="153.69999999999999"/>
    <n v="101"/>
    <n v="13.06"/>
    <n v="50.1"/>
    <n v="87"/>
    <n v="2.25"/>
    <x v="60"/>
    <x v="8"/>
    <x v="60"/>
    <x v="2"/>
    <x v="0"/>
  </r>
  <r>
    <s v="OK"/>
    <x v="104"/>
    <s v="area_code_415"/>
    <x v="0"/>
    <x v="1"/>
    <n v="0"/>
    <n v="179.2"/>
    <n v="59"/>
    <n v="30.46"/>
    <n v="283.3"/>
    <n v="101"/>
    <n v="24.08"/>
    <n v="285.39999999999998"/>
    <n v="83"/>
    <n v="12.84"/>
    <x v="41"/>
    <x v="2"/>
    <x v="41"/>
    <x v="2"/>
    <x v="0"/>
  </r>
  <r>
    <s v="WI"/>
    <x v="9"/>
    <s v="area_code_408"/>
    <x v="0"/>
    <x v="1"/>
    <n v="0"/>
    <n v="177.4"/>
    <n v="136"/>
    <n v="30.16"/>
    <n v="240.3"/>
    <n v="104"/>
    <n v="20.43"/>
    <n v="237.3"/>
    <n v="133"/>
    <n v="10.68"/>
    <x v="42"/>
    <x v="0"/>
    <x v="42"/>
    <x v="1"/>
    <x v="0"/>
  </r>
  <r>
    <s v="IN"/>
    <x v="17"/>
    <s v="area_code_408"/>
    <x v="0"/>
    <x v="1"/>
    <n v="0"/>
    <n v="115.6"/>
    <n v="129"/>
    <n v="19.649999999999999"/>
    <n v="167.8"/>
    <n v="104"/>
    <n v="14.26"/>
    <n v="141.80000000000001"/>
    <n v="124"/>
    <n v="6.38"/>
    <x v="44"/>
    <x v="6"/>
    <x v="44"/>
    <x v="0"/>
    <x v="0"/>
  </r>
  <r>
    <s v="IL"/>
    <x v="1"/>
    <s v="area_code_408"/>
    <x v="1"/>
    <x v="1"/>
    <n v="0"/>
    <n v="237.3"/>
    <n v="103"/>
    <n v="40.340000000000003"/>
    <n v="176.7"/>
    <n v="84"/>
    <n v="15.02"/>
    <n v="263.39999999999998"/>
    <n v="81"/>
    <n v="11.85"/>
    <x v="66"/>
    <x v="4"/>
    <x v="66"/>
    <x v="1"/>
    <x v="1"/>
  </r>
  <r>
    <s v="DC"/>
    <x v="62"/>
    <s v="area_code_408"/>
    <x v="0"/>
    <x v="1"/>
    <n v="0"/>
    <n v="51.5"/>
    <n v="90"/>
    <n v="8.76"/>
    <n v="164"/>
    <n v="98"/>
    <n v="13.94"/>
    <n v="169.4"/>
    <n v="80"/>
    <n v="7.62"/>
    <x v="17"/>
    <x v="4"/>
    <x v="17"/>
    <x v="3"/>
    <x v="0"/>
  </r>
  <r>
    <s v="NC"/>
    <x v="43"/>
    <s v="area_code_408"/>
    <x v="0"/>
    <x v="0"/>
    <n v="19"/>
    <n v="155.69999999999999"/>
    <n v="104"/>
    <n v="26.47"/>
    <n v="185.4"/>
    <n v="118"/>
    <n v="15.76"/>
    <n v="192.7"/>
    <n v="116"/>
    <n v="8.67"/>
    <x v="45"/>
    <x v="5"/>
    <x v="45"/>
    <x v="3"/>
    <x v="0"/>
  </r>
  <r>
    <s v="RI"/>
    <x v="106"/>
    <s v="area_code_510"/>
    <x v="0"/>
    <x v="0"/>
    <n v="23"/>
    <n v="245"/>
    <n v="88"/>
    <n v="41.65"/>
    <n v="265"/>
    <n v="105"/>
    <n v="22.53"/>
    <n v="239.7"/>
    <n v="108"/>
    <n v="10.79"/>
    <x v="130"/>
    <x v="0"/>
    <x v="130"/>
    <x v="2"/>
    <x v="0"/>
  </r>
  <r>
    <s v="VA"/>
    <x v="117"/>
    <s v="area_code_415"/>
    <x v="1"/>
    <x v="1"/>
    <n v="0"/>
    <n v="111.1"/>
    <n v="126"/>
    <n v="18.89"/>
    <n v="313.39999999999998"/>
    <n v="95"/>
    <n v="26.64"/>
    <n v="215.7"/>
    <n v="82"/>
    <n v="9.7100000000000009"/>
    <x v="26"/>
    <x v="3"/>
    <x v="26"/>
    <x v="0"/>
    <x v="0"/>
  </r>
  <r>
    <s v="NV"/>
    <x v="4"/>
    <s v="area_code_408"/>
    <x v="0"/>
    <x v="0"/>
    <n v="44"/>
    <n v="116"/>
    <n v="85"/>
    <n v="19.72"/>
    <n v="150.1"/>
    <n v="120"/>
    <n v="12.76"/>
    <n v="246.8"/>
    <n v="98"/>
    <n v="11.11"/>
    <x v="42"/>
    <x v="5"/>
    <x v="42"/>
    <x v="0"/>
    <x v="0"/>
  </r>
  <r>
    <s v="WI"/>
    <x v="1"/>
    <s v="area_code_510"/>
    <x v="0"/>
    <x v="1"/>
    <n v="0"/>
    <n v="155.5"/>
    <n v="81"/>
    <n v="26.44"/>
    <n v="133.1"/>
    <n v="94"/>
    <n v="11.31"/>
    <n v="253.1"/>
    <n v="77"/>
    <n v="11.39"/>
    <x v="9"/>
    <x v="5"/>
    <x v="9"/>
    <x v="0"/>
    <x v="0"/>
  </r>
  <r>
    <s v="NE"/>
    <x v="93"/>
    <s v="area_code_510"/>
    <x v="0"/>
    <x v="0"/>
    <n v="31"/>
    <n v="175.2"/>
    <n v="68"/>
    <n v="29.78"/>
    <n v="199.2"/>
    <n v="73"/>
    <n v="16.93"/>
    <n v="219.8"/>
    <n v="99"/>
    <n v="9.89"/>
    <x v="32"/>
    <x v="3"/>
    <x v="32"/>
    <x v="0"/>
    <x v="0"/>
  </r>
  <r>
    <s v="WI"/>
    <x v="12"/>
    <s v="area_code_408"/>
    <x v="0"/>
    <x v="1"/>
    <n v="0"/>
    <n v="154.69999999999999"/>
    <n v="84"/>
    <n v="26.3"/>
    <n v="177.8"/>
    <n v="125"/>
    <n v="15.11"/>
    <n v="172.9"/>
    <n v="90"/>
    <n v="7.78"/>
    <x v="96"/>
    <x v="5"/>
    <x v="96"/>
    <x v="4"/>
    <x v="1"/>
  </r>
  <r>
    <s v="NJ"/>
    <x v="169"/>
    <s v="area_code_510"/>
    <x v="0"/>
    <x v="0"/>
    <n v="34"/>
    <n v="247.2"/>
    <n v="105"/>
    <n v="42.02"/>
    <n v="225.5"/>
    <n v="133"/>
    <n v="19.170000000000002"/>
    <n v="186.3"/>
    <n v="76"/>
    <n v="8.3800000000000008"/>
    <x v="49"/>
    <x v="1"/>
    <x v="49"/>
    <x v="2"/>
    <x v="1"/>
  </r>
  <r>
    <s v="WY"/>
    <x v="64"/>
    <s v="area_code_415"/>
    <x v="0"/>
    <x v="0"/>
    <n v="24"/>
    <n v="227.5"/>
    <n v="81"/>
    <n v="38.68"/>
    <n v="234.9"/>
    <n v="71"/>
    <n v="19.97"/>
    <n v="166.4"/>
    <n v="128"/>
    <n v="7.49"/>
    <x v="62"/>
    <x v="15"/>
    <x v="62"/>
    <x v="0"/>
    <x v="0"/>
  </r>
  <r>
    <s v="IN"/>
    <x v="17"/>
    <s v="area_code_408"/>
    <x v="0"/>
    <x v="0"/>
    <n v="30"/>
    <n v="185"/>
    <n v="117"/>
    <n v="31.45"/>
    <n v="249.5"/>
    <n v="141"/>
    <n v="21.21"/>
    <n v="157.80000000000001"/>
    <n v="103"/>
    <n v="7.1"/>
    <x v="33"/>
    <x v="2"/>
    <x v="33"/>
    <x v="1"/>
    <x v="0"/>
  </r>
  <r>
    <s v="VT"/>
    <x v="90"/>
    <s v="area_code_415"/>
    <x v="0"/>
    <x v="1"/>
    <n v="0"/>
    <n v="158.80000000000001"/>
    <n v="119"/>
    <n v="27"/>
    <n v="211.8"/>
    <n v="105"/>
    <n v="18"/>
    <n v="198.1"/>
    <n v="101"/>
    <n v="8.91"/>
    <x v="19"/>
    <x v="0"/>
    <x v="19"/>
    <x v="0"/>
    <x v="0"/>
  </r>
  <r>
    <s v="IN"/>
    <x v="16"/>
    <s v="area_code_408"/>
    <x v="0"/>
    <x v="1"/>
    <n v="0"/>
    <n v="185.9"/>
    <n v="95"/>
    <n v="31.6"/>
    <n v="212"/>
    <n v="98"/>
    <n v="18.02"/>
    <n v="282.3"/>
    <n v="81"/>
    <n v="12.7"/>
    <x v="61"/>
    <x v="4"/>
    <x v="61"/>
    <x v="3"/>
    <x v="0"/>
  </r>
  <r>
    <s v="SC"/>
    <x v="143"/>
    <s v="area_code_415"/>
    <x v="0"/>
    <x v="1"/>
    <n v="0"/>
    <n v="222.5"/>
    <n v="74"/>
    <n v="37.83"/>
    <n v="169.7"/>
    <n v="75"/>
    <n v="14.42"/>
    <n v="264.3"/>
    <n v="94"/>
    <n v="11.89"/>
    <x v="62"/>
    <x v="0"/>
    <x v="62"/>
    <x v="2"/>
    <x v="0"/>
  </r>
  <r>
    <s v="IN"/>
    <x v="65"/>
    <s v="area_code_415"/>
    <x v="0"/>
    <x v="1"/>
    <n v="0"/>
    <n v="201.1"/>
    <n v="101"/>
    <n v="34.19"/>
    <n v="170.7"/>
    <n v="86"/>
    <n v="14.51"/>
    <n v="237.4"/>
    <n v="113"/>
    <n v="10.68"/>
    <x v="43"/>
    <x v="0"/>
    <x v="43"/>
    <x v="3"/>
    <x v="0"/>
  </r>
  <r>
    <s v="IA"/>
    <x v="134"/>
    <s v="area_code_415"/>
    <x v="0"/>
    <x v="0"/>
    <n v="17"/>
    <n v="167.9"/>
    <n v="114"/>
    <n v="28.54"/>
    <n v="243.7"/>
    <n v="93"/>
    <n v="20.71"/>
    <n v="211.9"/>
    <n v="114"/>
    <n v="9.5399999999999991"/>
    <x v="9"/>
    <x v="5"/>
    <x v="9"/>
    <x v="0"/>
    <x v="0"/>
  </r>
  <r>
    <s v="MD"/>
    <x v="115"/>
    <s v="area_code_408"/>
    <x v="0"/>
    <x v="1"/>
    <n v="0"/>
    <n v="239.1"/>
    <n v="88"/>
    <n v="40.65"/>
    <n v="243.5"/>
    <n v="79"/>
    <n v="20.7"/>
    <n v="230.9"/>
    <n v="92"/>
    <n v="10.39"/>
    <x v="54"/>
    <x v="0"/>
    <x v="54"/>
    <x v="3"/>
    <x v="1"/>
  </r>
  <r>
    <s v="MN"/>
    <x v="45"/>
    <s v="area_code_510"/>
    <x v="0"/>
    <x v="1"/>
    <n v="0"/>
    <n v="175.7"/>
    <n v="109"/>
    <n v="29.87"/>
    <n v="211.8"/>
    <n v="97"/>
    <n v="18"/>
    <n v="137.9"/>
    <n v="109"/>
    <n v="6.21"/>
    <x v="29"/>
    <x v="0"/>
    <x v="29"/>
    <x v="5"/>
    <x v="1"/>
  </r>
  <r>
    <s v="AR"/>
    <x v="143"/>
    <s v="area_code_415"/>
    <x v="0"/>
    <x v="0"/>
    <n v="29"/>
    <n v="111.2"/>
    <n v="90"/>
    <n v="18.899999999999999"/>
    <n v="263.5"/>
    <n v="98"/>
    <n v="22.4"/>
    <n v="224.7"/>
    <n v="128"/>
    <n v="10.11"/>
    <x v="62"/>
    <x v="3"/>
    <x v="62"/>
    <x v="8"/>
    <x v="1"/>
  </r>
  <r>
    <s v="MS"/>
    <x v="26"/>
    <s v="area_code_415"/>
    <x v="0"/>
    <x v="1"/>
    <n v="0"/>
    <n v="87.7"/>
    <n v="74"/>
    <n v="14.91"/>
    <n v="214.8"/>
    <n v="58"/>
    <n v="18.260000000000002"/>
    <n v="201.3"/>
    <n v="147"/>
    <n v="9.06"/>
    <x v="81"/>
    <x v="3"/>
    <x v="81"/>
    <x v="0"/>
    <x v="0"/>
  </r>
  <r>
    <s v="MN"/>
    <x v="169"/>
    <s v="area_code_415"/>
    <x v="0"/>
    <x v="1"/>
    <n v="0"/>
    <n v="244.1"/>
    <n v="99"/>
    <n v="41.5"/>
    <n v="246.9"/>
    <n v="111"/>
    <n v="20.99"/>
    <n v="200"/>
    <n v="133"/>
    <n v="9"/>
    <x v="68"/>
    <x v="5"/>
    <x v="68"/>
    <x v="1"/>
    <x v="0"/>
  </r>
  <r>
    <s v="WA"/>
    <x v="152"/>
    <s v="area_code_415"/>
    <x v="0"/>
    <x v="0"/>
    <n v="27"/>
    <n v="165"/>
    <n v="89"/>
    <n v="28.05"/>
    <n v="127.3"/>
    <n v="118"/>
    <n v="10.82"/>
    <n v="284.39999999999998"/>
    <n v="95"/>
    <n v="12.8"/>
    <x v="18"/>
    <x v="4"/>
    <x v="18"/>
    <x v="2"/>
    <x v="0"/>
  </r>
  <r>
    <s v="MS"/>
    <x v="33"/>
    <s v="area_code_408"/>
    <x v="0"/>
    <x v="0"/>
    <n v="27"/>
    <n v="127.4"/>
    <n v="110"/>
    <n v="21.66"/>
    <n v="103.3"/>
    <n v="99"/>
    <n v="8.7799999999999994"/>
    <n v="164.2"/>
    <n v="73"/>
    <n v="7.39"/>
    <x v="9"/>
    <x v="0"/>
    <x v="9"/>
    <x v="1"/>
    <x v="0"/>
  </r>
  <r>
    <s v="ID"/>
    <x v="81"/>
    <s v="area_code_415"/>
    <x v="0"/>
    <x v="1"/>
    <n v="0"/>
    <n v="194.8"/>
    <n v="106"/>
    <n v="33.119999999999997"/>
    <n v="292.7"/>
    <n v="103"/>
    <n v="24.88"/>
    <n v="224.6"/>
    <n v="82"/>
    <n v="10.11"/>
    <x v="129"/>
    <x v="0"/>
    <x v="129"/>
    <x v="1"/>
    <x v="0"/>
  </r>
  <r>
    <s v="NC"/>
    <x v="131"/>
    <s v="area_code_415"/>
    <x v="0"/>
    <x v="1"/>
    <n v="0"/>
    <n v="54.7"/>
    <n v="131"/>
    <n v="9.3000000000000007"/>
    <n v="256.10000000000002"/>
    <n v="105"/>
    <n v="21.77"/>
    <n v="176.6"/>
    <n v="135"/>
    <n v="7.95"/>
    <x v="22"/>
    <x v="4"/>
    <x v="22"/>
    <x v="0"/>
    <x v="0"/>
  </r>
  <r>
    <s v="MI"/>
    <x v="14"/>
    <s v="area_code_510"/>
    <x v="0"/>
    <x v="1"/>
    <n v="0"/>
    <n v="90.5"/>
    <n v="142"/>
    <n v="15.39"/>
    <n v="211.7"/>
    <n v="75"/>
    <n v="17.989999999999998"/>
    <n v="194.9"/>
    <n v="76"/>
    <n v="8.77"/>
    <x v="38"/>
    <x v="5"/>
    <x v="38"/>
    <x v="0"/>
    <x v="0"/>
  </r>
  <r>
    <s v="HI"/>
    <x v="114"/>
    <s v="area_code_415"/>
    <x v="0"/>
    <x v="1"/>
    <n v="0"/>
    <n v="235.6"/>
    <n v="132"/>
    <n v="40.049999999999997"/>
    <n v="115.9"/>
    <n v="129"/>
    <n v="9.85"/>
    <n v="185.4"/>
    <n v="136"/>
    <n v="8.34"/>
    <x v="76"/>
    <x v="5"/>
    <x v="76"/>
    <x v="1"/>
    <x v="0"/>
  </r>
  <r>
    <s v="NC"/>
    <x v="162"/>
    <s v="area_code_408"/>
    <x v="0"/>
    <x v="1"/>
    <n v="0"/>
    <n v="142.5"/>
    <n v="82"/>
    <n v="24.23"/>
    <n v="231.4"/>
    <n v="110"/>
    <n v="19.670000000000002"/>
    <n v="131.19999999999999"/>
    <n v="67"/>
    <n v="5.9"/>
    <x v="13"/>
    <x v="4"/>
    <x v="13"/>
    <x v="2"/>
    <x v="0"/>
  </r>
  <r>
    <s v="MN"/>
    <x v="150"/>
    <s v="area_code_408"/>
    <x v="0"/>
    <x v="1"/>
    <n v="0"/>
    <n v="54"/>
    <n v="68"/>
    <n v="9.18"/>
    <n v="179.3"/>
    <n v="96"/>
    <n v="15.24"/>
    <n v="247.2"/>
    <n v="101"/>
    <n v="11.12"/>
    <x v="39"/>
    <x v="10"/>
    <x v="39"/>
    <x v="0"/>
    <x v="0"/>
  </r>
  <r>
    <s v="WV"/>
    <x v="58"/>
    <s v="area_code_415"/>
    <x v="0"/>
    <x v="1"/>
    <n v="0"/>
    <n v="214.8"/>
    <n v="87"/>
    <n v="36.520000000000003"/>
    <n v="131"/>
    <n v="114"/>
    <n v="11.14"/>
    <n v="216.9"/>
    <n v="104"/>
    <n v="9.76"/>
    <x v="27"/>
    <x v="0"/>
    <x v="27"/>
    <x v="3"/>
    <x v="0"/>
  </r>
  <r>
    <s v="SD"/>
    <x v="36"/>
    <s v="area_code_510"/>
    <x v="1"/>
    <x v="1"/>
    <n v="0"/>
    <n v="251.4"/>
    <n v="118"/>
    <n v="42.74"/>
    <n v="196.6"/>
    <n v="80"/>
    <n v="16.71"/>
    <n v="192"/>
    <n v="53"/>
    <n v="8.64"/>
    <x v="34"/>
    <x v="5"/>
    <x v="34"/>
    <x v="1"/>
    <x v="1"/>
  </r>
  <r>
    <s v="HI"/>
    <x v="188"/>
    <s v="area_code_408"/>
    <x v="0"/>
    <x v="1"/>
    <n v="0"/>
    <n v="139"/>
    <n v="99"/>
    <n v="23.63"/>
    <n v="250.7"/>
    <n v="108"/>
    <n v="21.31"/>
    <n v="286.2"/>
    <n v="87"/>
    <n v="12.88"/>
    <x v="49"/>
    <x v="0"/>
    <x v="49"/>
    <x v="4"/>
    <x v="0"/>
  </r>
  <r>
    <s v="MS"/>
    <x v="45"/>
    <s v="area_code_415"/>
    <x v="0"/>
    <x v="1"/>
    <n v="0"/>
    <n v="117.3"/>
    <n v="114"/>
    <n v="19.940000000000001"/>
    <n v="208.7"/>
    <n v="105"/>
    <n v="17.739999999999998"/>
    <n v="203.4"/>
    <n v="98"/>
    <n v="9.15"/>
    <x v="90"/>
    <x v="5"/>
    <x v="90"/>
    <x v="2"/>
    <x v="0"/>
  </r>
  <r>
    <s v="NY"/>
    <x v="130"/>
    <s v="area_code_415"/>
    <x v="0"/>
    <x v="1"/>
    <n v="0"/>
    <n v="264"/>
    <n v="108"/>
    <n v="44.88"/>
    <n v="132.19999999999999"/>
    <n v="75"/>
    <n v="11.24"/>
    <n v="177.7"/>
    <n v="91"/>
    <n v="8"/>
    <x v="15"/>
    <x v="10"/>
    <x v="15"/>
    <x v="3"/>
    <x v="0"/>
  </r>
  <r>
    <s v="LA"/>
    <x v="168"/>
    <s v="area_code_408"/>
    <x v="0"/>
    <x v="1"/>
    <n v="0"/>
    <n v="82.6"/>
    <n v="105"/>
    <n v="14.04"/>
    <n v="204"/>
    <n v="99"/>
    <n v="17.34"/>
    <n v="224.2"/>
    <n v="122"/>
    <n v="10.09"/>
    <x v="9"/>
    <x v="4"/>
    <x v="9"/>
    <x v="0"/>
    <x v="0"/>
  </r>
  <r>
    <s v="KS"/>
    <x v="123"/>
    <s v="area_code_415"/>
    <x v="1"/>
    <x v="0"/>
    <n v="28"/>
    <n v="175.8"/>
    <n v="126"/>
    <n v="29.89"/>
    <n v="253.6"/>
    <n v="76"/>
    <n v="21.56"/>
    <n v="128.5"/>
    <n v="72"/>
    <n v="5.78"/>
    <x v="37"/>
    <x v="1"/>
    <x v="37"/>
    <x v="0"/>
    <x v="0"/>
  </r>
  <r>
    <s v="MA"/>
    <x v="163"/>
    <s v="area_code_408"/>
    <x v="0"/>
    <x v="1"/>
    <n v="0"/>
    <n v="220.4"/>
    <n v="100"/>
    <n v="37.47"/>
    <n v="211.2"/>
    <n v="79"/>
    <n v="17.95"/>
    <n v="259.3"/>
    <n v="112"/>
    <n v="11.67"/>
    <x v="109"/>
    <x v="10"/>
    <x v="109"/>
    <x v="2"/>
    <x v="0"/>
  </r>
  <r>
    <s v="AK"/>
    <x v="36"/>
    <s v="area_code_408"/>
    <x v="0"/>
    <x v="1"/>
    <n v="0"/>
    <n v="217"/>
    <n v="104"/>
    <n v="36.89"/>
    <n v="152.30000000000001"/>
    <n v="83"/>
    <n v="12.95"/>
    <n v="134.30000000000001"/>
    <n v="109"/>
    <n v="6.04"/>
    <x v="23"/>
    <x v="4"/>
    <x v="23"/>
    <x v="2"/>
    <x v="0"/>
  </r>
  <r>
    <s v="SD"/>
    <x v="113"/>
    <s v="area_code_415"/>
    <x v="0"/>
    <x v="0"/>
    <n v="25"/>
    <n v="129"/>
    <n v="77"/>
    <n v="21.93"/>
    <n v="290"/>
    <n v="110"/>
    <n v="24.65"/>
    <n v="177.1"/>
    <n v="110"/>
    <n v="7.97"/>
    <x v="43"/>
    <x v="1"/>
    <x v="43"/>
    <x v="0"/>
    <x v="0"/>
  </r>
  <r>
    <s v="CO"/>
    <x v="166"/>
    <s v="area_code_408"/>
    <x v="0"/>
    <x v="1"/>
    <n v="0"/>
    <n v="150.5"/>
    <n v="106"/>
    <n v="25.59"/>
    <n v="152.9"/>
    <n v="112"/>
    <n v="13"/>
    <n v="215.9"/>
    <n v="86"/>
    <n v="9.7200000000000006"/>
    <x v="30"/>
    <x v="0"/>
    <x v="30"/>
    <x v="0"/>
    <x v="0"/>
  </r>
  <r>
    <s v="WV"/>
    <x v="86"/>
    <s v="area_code_415"/>
    <x v="0"/>
    <x v="1"/>
    <n v="0"/>
    <n v="189.5"/>
    <n v="122"/>
    <n v="32.22"/>
    <n v="103.8"/>
    <n v="95"/>
    <n v="8.82"/>
    <n v="180.6"/>
    <n v="106"/>
    <n v="8.1300000000000008"/>
    <x v="81"/>
    <x v="1"/>
    <x v="81"/>
    <x v="2"/>
    <x v="0"/>
  </r>
  <r>
    <s v="AZ"/>
    <x v="55"/>
    <s v="area_code_415"/>
    <x v="0"/>
    <x v="0"/>
    <n v="33"/>
    <n v="137.80000000000001"/>
    <n v="95"/>
    <n v="23.43"/>
    <n v="235.5"/>
    <n v="128"/>
    <n v="20.02"/>
    <n v="268.10000000000002"/>
    <n v="70"/>
    <n v="12.06"/>
    <x v="34"/>
    <x v="3"/>
    <x v="34"/>
    <x v="2"/>
    <x v="0"/>
  </r>
  <r>
    <s v="ME"/>
    <x v="36"/>
    <s v="area_code_510"/>
    <x v="0"/>
    <x v="1"/>
    <n v="0"/>
    <n v="129.30000000000001"/>
    <n v="80"/>
    <n v="21.98"/>
    <n v="142.69999999999999"/>
    <n v="101"/>
    <n v="12.13"/>
    <n v="258.3"/>
    <n v="89"/>
    <n v="11.62"/>
    <x v="10"/>
    <x v="4"/>
    <x v="10"/>
    <x v="3"/>
    <x v="0"/>
  </r>
  <r>
    <s v="NH"/>
    <x v="117"/>
    <s v="area_code_510"/>
    <x v="0"/>
    <x v="1"/>
    <n v="0"/>
    <n v="115.6"/>
    <n v="77"/>
    <n v="19.649999999999999"/>
    <n v="213.6"/>
    <n v="100"/>
    <n v="18.16"/>
    <n v="218.4"/>
    <n v="72"/>
    <n v="9.83"/>
    <x v="85"/>
    <x v="3"/>
    <x v="85"/>
    <x v="0"/>
    <x v="0"/>
  </r>
  <r>
    <s v="RI"/>
    <x v="64"/>
    <s v="area_code_415"/>
    <x v="0"/>
    <x v="0"/>
    <n v="23"/>
    <n v="221.9"/>
    <n v="114"/>
    <n v="37.72"/>
    <n v="254.7"/>
    <n v="84"/>
    <n v="21.65"/>
    <n v="250.5"/>
    <n v="117"/>
    <n v="11.27"/>
    <x v="68"/>
    <x v="1"/>
    <x v="68"/>
    <x v="2"/>
    <x v="0"/>
  </r>
  <r>
    <s v="ID"/>
    <x v="17"/>
    <s v="area_code_415"/>
    <x v="0"/>
    <x v="1"/>
    <n v="0"/>
    <n v="263.7"/>
    <n v="113"/>
    <n v="44.83"/>
    <n v="186.5"/>
    <n v="103"/>
    <n v="15.85"/>
    <n v="195.3"/>
    <n v="99"/>
    <n v="8.7899999999999991"/>
    <x v="154"/>
    <x v="3"/>
    <x v="154"/>
    <x v="0"/>
    <x v="1"/>
  </r>
  <r>
    <s v="WI"/>
    <x v="53"/>
    <s v="area_code_408"/>
    <x v="0"/>
    <x v="1"/>
    <n v="0"/>
    <n v="61.3"/>
    <n v="91"/>
    <n v="10.42"/>
    <n v="194.4"/>
    <n v="94"/>
    <n v="16.52"/>
    <n v="143.1"/>
    <n v="80"/>
    <n v="6.44"/>
    <x v="37"/>
    <x v="6"/>
    <x v="37"/>
    <x v="0"/>
    <x v="0"/>
  </r>
  <r>
    <s v="NM"/>
    <x v="5"/>
    <s v="area_code_408"/>
    <x v="1"/>
    <x v="1"/>
    <n v="0"/>
    <n v="183.8"/>
    <n v="113"/>
    <n v="31.25"/>
    <n v="164.7"/>
    <n v="110"/>
    <n v="14"/>
    <n v="111"/>
    <n v="87"/>
    <n v="5"/>
    <x v="3"/>
    <x v="4"/>
    <x v="3"/>
    <x v="0"/>
    <x v="0"/>
  </r>
  <r>
    <s v="WY"/>
    <x v="135"/>
    <s v="area_code_415"/>
    <x v="0"/>
    <x v="1"/>
    <n v="0"/>
    <n v="167.4"/>
    <n v="68"/>
    <n v="28.46"/>
    <n v="143.80000000000001"/>
    <n v="74"/>
    <n v="12.22"/>
    <n v="140.1"/>
    <n v="111"/>
    <n v="6.3"/>
    <x v="19"/>
    <x v="0"/>
    <x v="19"/>
    <x v="1"/>
    <x v="1"/>
  </r>
  <r>
    <s v="IL"/>
    <x v="9"/>
    <s v="area_code_510"/>
    <x v="0"/>
    <x v="0"/>
    <n v="27"/>
    <n v="154.1"/>
    <n v="122"/>
    <n v="26.2"/>
    <n v="195.3"/>
    <n v="150"/>
    <n v="16.600000000000001"/>
    <n v="276.7"/>
    <n v="86"/>
    <n v="12.45"/>
    <x v="32"/>
    <x v="5"/>
    <x v="32"/>
    <x v="4"/>
    <x v="0"/>
  </r>
  <r>
    <s v="TX"/>
    <x v="17"/>
    <s v="area_code_408"/>
    <x v="0"/>
    <x v="1"/>
    <n v="0"/>
    <n v="252"/>
    <n v="101"/>
    <n v="42.84"/>
    <n v="170.2"/>
    <n v="105"/>
    <n v="14.47"/>
    <n v="209.2"/>
    <n v="64"/>
    <n v="9.41"/>
    <x v="16"/>
    <x v="1"/>
    <x v="16"/>
    <x v="1"/>
    <x v="0"/>
  </r>
  <r>
    <s v="RI"/>
    <x v="61"/>
    <s v="area_code_408"/>
    <x v="1"/>
    <x v="1"/>
    <n v="0"/>
    <n v="163.1"/>
    <n v="94"/>
    <n v="27.73"/>
    <n v="291.7"/>
    <n v="108"/>
    <n v="24.79"/>
    <n v="96.4"/>
    <n v="111"/>
    <n v="4.34"/>
    <x v="7"/>
    <x v="0"/>
    <x v="7"/>
    <x v="1"/>
    <x v="0"/>
  </r>
  <r>
    <s v="MI"/>
    <x v="137"/>
    <s v="area_code_415"/>
    <x v="0"/>
    <x v="1"/>
    <n v="0"/>
    <n v="198.3"/>
    <n v="80"/>
    <n v="33.71"/>
    <n v="187"/>
    <n v="89"/>
    <n v="15.9"/>
    <n v="133.5"/>
    <n v="96"/>
    <n v="6.01"/>
    <x v="155"/>
    <x v="4"/>
    <x v="155"/>
    <x v="2"/>
    <x v="0"/>
  </r>
  <r>
    <s v="OR"/>
    <x v="40"/>
    <s v="area_code_415"/>
    <x v="0"/>
    <x v="1"/>
    <n v="0"/>
    <n v="324.7"/>
    <n v="48"/>
    <n v="55.2"/>
    <n v="236.4"/>
    <n v="82"/>
    <n v="20.09"/>
    <n v="187.6"/>
    <n v="78"/>
    <n v="8.44"/>
    <x v="67"/>
    <x v="1"/>
    <x v="67"/>
    <x v="1"/>
    <x v="1"/>
  </r>
  <r>
    <s v="VA"/>
    <x v="63"/>
    <s v="area_code_510"/>
    <x v="0"/>
    <x v="1"/>
    <n v="0"/>
    <n v="128.30000000000001"/>
    <n v="78"/>
    <n v="21.81"/>
    <n v="215.3"/>
    <n v="120"/>
    <n v="18.3"/>
    <n v="143.69999999999999"/>
    <n v="140"/>
    <n v="6.47"/>
    <x v="108"/>
    <x v="6"/>
    <x v="108"/>
    <x v="2"/>
    <x v="0"/>
  </r>
  <r>
    <s v="SD"/>
    <x v="100"/>
    <s v="area_code_510"/>
    <x v="0"/>
    <x v="1"/>
    <n v="0"/>
    <n v="187.9"/>
    <n v="110"/>
    <n v="31.94"/>
    <n v="200.5"/>
    <n v="101"/>
    <n v="17.04"/>
    <n v="202.6"/>
    <n v="125"/>
    <n v="9.1199999999999992"/>
    <x v="39"/>
    <x v="12"/>
    <x v="39"/>
    <x v="2"/>
    <x v="0"/>
  </r>
  <r>
    <s v="AL"/>
    <x v="121"/>
    <s v="area_code_510"/>
    <x v="0"/>
    <x v="1"/>
    <n v="0"/>
    <n v="129.19999999999999"/>
    <n v="71"/>
    <n v="21.96"/>
    <n v="214.1"/>
    <n v="68"/>
    <n v="18.2"/>
    <n v="214.9"/>
    <n v="100"/>
    <n v="9.67"/>
    <x v="19"/>
    <x v="4"/>
    <x v="19"/>
    <x v="5"/>
    <x v="1"/>
  </r>
  <r>
    <s v="MS"/>
    <x v="106"/>
    <s v="area_code_415"/>
    <x v="1"/>
    <x v="1"/>
    <n v="0"/>
    <n v="125.5"/>
    <n v="106"/>
    <n v="21.34"/>
    <n v="128.9"/>
    <n v="96"/>
    <n v="10.96"/>
    <n v="251.9"/>
    <n v="129"/>
    <n v="11.34"/>
    <x v="21"/>
    <x v="3"/>
    <x v="21"/>
    <x v="4"/>
    <x v="1"/>
  </r>
  <r>
    <s v="MS"/>
    <x v="17"/>
    <s v="area_code_510"/>
    <x v="0"/>
    <x v="0"/>
    <n v="26"/>
    <n v="257.2"/>
    <n v="108"/>
    <n v="43.72"/>
    <n v="224.3"/>
    <n v="122"/>
    <n v="19.07"/>
    <n v="204"/>
    <n v="118"/>
    <n v="9.18"/>
    <x v="44"/>
    <x v="4"/>
    <x v="44"/>
    <x v="0"/>
    <x v="0"/>
  </r>
  <r>
    <s v="HI"/>
    <x v="63"/>
    <s v="area_code_415"/>
    <x v="0"/>
    <x v="1"/>
    <n v="0"/>
    <n v="124.6"/>
    <n v="90"/>
    <n v="21.18"/>
    <n v="146.4"/>
    <n v="70"/>
    <n v="12.44"/>
    <n v="169.4"/>
    <n v="95"/>
    <n v="7.62"/>
    <x v="26"/>
    <x v="3"/>
    <x v="26"/>
    <x v="0"/>
    <x v="0"/>
  </r>
  <r>
    <s v="WV"/>
    <x v="25"/>
    <s v="area_code_408"/>
    <x v="0"/>
    <x v="1"/>
    <n v="0"/>
    <n v="175.1"/>
    <n v="144"/>
    <n v="29.77"/>
    <n v="216.9"/>
    <n v="69"/>
    <n v="18.440000000000001"/>
    <n v="243.7"/>
    <n v="146"/>
    <n v="10.97"/>
    <x v="79"/>
    <x v="0"/>
    <x v="79"/>
    <x v="0"/>
    <x v="0"/>
  </r>
  <r>
    <s v="WV"/>
    <x v="137"/>
    <s v="area_code_415"/>
    <x v="0"/>
    <x v="1"/>
    <n v="0"/>
    <n v="124.3"/>
    <n v="91"/>
    <n v="21.13"/>
    <n v="173.4"/>
    <n v="105"/>
    <n v="14.74"/>
    <n v="256.3"/>
    <n v="109"/>
    <n v="11.53"/>
    <x v="4"/>
    <x v="1"/>
    <x v="4"/>
    <x v="3"/>
    <x v="0"/>
  </r>
  <r>
    <s v="WV"/>
    <x v="83"/>
    <s v="area_code_415"/>
    <x v="0"/>
    <x v="1"/>
    <n v="0"/>
    <n v="271.60000000000002"/>
    <n v="130"/>
    <n v="46.17"/>
    <n v="156"/>
    <n v="131"/>
    <n v="13.26"/>
    <n v="136.30000000000001"/>
    <n v="108"/>
    <n v="6.13"/>
    <x v="43"/>
    <x v="6"/>
    <x v="43"/>
    <x v="2"/>
    <x v="0"/>
  </r>
  <r>
    <s v="NM"/>
    <x v="39"/>
    <s v="area_code_415"/>
    <x v="0"/>
    <x v="0"/>
    <n v="33"/>
    <n v="183.3"/>
    <n v="115"/>
    <n v="31.16"/>
    <n v="201.4"/>
    <n v="87"/>
    <n v="17.12"/>
    <n v="177.4"/>
    <n v="84"/>
    <n v="7.98"/>
    <x v="91"/>
    <x v="9"/>
    <x v="91"/>
    <x v="3"/>
    <x v="0"/>
  </r>
  <r>
    <s v="DE"/>
    <x v="126"/>
    <s v="area_code_408"/>
    <x v="0"/>
    <x v="1"/>
    <n v="0"/>
    <n v="101.1"/>
    <n v="119"/>
    <n v="17.190000000000001"/>
    <n v="214.4"/>
    <n v="67"/>
    <n v="18.22"/>
    <n v="179.5"/>
    <n v="112"/>
    <n v="8.08"/>
    <x v="19"/>
    <x v="1"/>
    <x v="19"/>
    <x v="2"/>
    <x v="0"/>
  </r>
  <r>
    <s v="NC"/>
    <x v="3"/>
    <s v="area_code_408"/>
    <x v="0"/>
    <x v="1"/>
    <n v="0"/>
    <n v="203.3"/>
    <n v="70"/>
    <n v="34.56"/>
    <n v="228.9"/>
    <n v="97"/>
    <n v="19.46"/>
    <n v="222.2"/>
    <n v="118"/>
    <n v="10"/>
    <x v="108"/>
    <x v="0"/>
    <x v="108"/>
    <x v="0"/>
    <x v="0"/>
  </r>
  <r>
    <s v="NM"/>
    <x v="176"/>
    <s v="area_code_415"/>
    <x v="0"/>
    <x v="0"/>
    <n v="35"/>
    <n v="175.4"/>
    <n v="88"/>
    <n v="29.82"/>
    <n v="190"/>
    <n v="65"/>
    <n v="16.149999999999999"/>
    <n v="138.69999999999999"/>
    <n v="94"/>
    <n v="6.24"/>
    <x v="26"/>
    <x v="0"/>
    <x v="26"/>
    <x v="2"/>
    <x v="0"/>
  </r>
  <r>
    <s v="SC"/>
    <x v="126"/>
    <s v="area_code_415"/>
    <x v="0"/>
    <x v="1"/>
    <n v="0"/>
    <n v="266"/>
    <n v="97"/>
    <n v="45.22"/>
    <n v="214.6"/>
    <n v="94"/>
    <n v="18.239999999999998"/>
    <n v="306.2"/>
    <n v="100"/>
    <n v="13.78"/>
    <x v="66"/>
    <x v="5"/>
    <x v="66"/>
    <x v="2"/>
    <x v="1"/>
  </r>
  <r>
    <s v="NJ"/>
    <x v="65"/>
    <s v="area_code_415"/>
    <x v="0"/>
    <x v="0"/>
    <n v="41"/>
    <n v="171.6"/>
    <n v="110"/>
    <n v="29.17"/>
    <n v="136.1"/>
    <n v="78"/>
    <n v="11.57"/>
    <n v="183.4"/>
    <n v="103"/>
    <n v="8.25"/>
    <x v="81"/>
    <x v="2"/>
    <x v="81"/>
    <x v="1"/>
    <x v="0"/>
  </r>
  <r>
    <s v="AZ"/>
    <x v="108"/>
    <s v="area_code_510"/>
    <x v="0"/>
    <x v="1"/>
    <n v="0"/>
    <n v="78.7"/>
    <n v="98"/>
    <n v="13.38"/>
    <n v="225.6"/>
    <n v="102"/>
    <n v="19.18"/>
    <n v="150.4"/>
    <n v="106"/>
    <n v="6.77"/>
    <x v="100"/>
    <x v="10"/>
    <x v="100"/>
    <x v="1"/>
    <x v="0"/>
  </r>
  <r>
    <s v="RI"/>
    <x v="4"/>
    <s v="area_code_510"/>
    <x v="0"/>
    <x v="0"/>
    <n v="20"/>
    <n v="211.9"/>
    <n v="110"/>
    <n v="36.020000000000003"/>
    <n v="215.1"/>
    <n v="120"/>
    <n v="18.28"/>
    <n v="238.5"/>
    <n v="107"/>
    <n v="10.73"/>
    <x v="27"/>
    <x v="5"/>
    <x v="27"/>
    <x v="1"/>
    <x v="0"/>
  </r>
  <r>
    <s v="SD"/>
    <x v="43"/>
    <s v="area_code_415"/>
    <x v="0"/>
    <x v="1"/>
    <n v="0"/>
    <n v="63.7"/>
    <n v="101"/>
    <n v="10.83"/>
    <n v="195.8"/>
    <n v="95"/>
    <n v="16.64"/>
    <n v="210.1"/>
    <n v="87"/>
    <n v="9.4499999999999993"/>
    <x v="13"/>
    <x v="3"/>
    <x v="13"/>
    <x v="0"/>
    <x v="0"/>
  </r>
  <r>
    <s v="NH"/>
    <x v="12"/>
    <s v="area_code_415"/>
    <x v="0"/>
    <x v="1"/>
    <n v="0"/>
    <n v="173.4"/>
    <n v="100"/>
    <n v="29.48"/>
    <n v="213.7"/>
    <n v="74"/>
    <n v="18.16"/>
    <n v="141.5"/>
    <n v="69"/>
    <n v="6.37"/>
    <x v="73"/>
    <x v="4"/>
    <x v="73"/>
    <x v="0"/>
    <x v="0"/>
  </r>
  <r>
    <s v="WV"/>
    <x v="130"/>
    <s v="area_code_415"/>
    <x v="0"/>
    <x v="1"/>
    <n v="0"/>
    <n v="225.9"/>
    <n v="123"/>
    <n v="38.4"/>
    <n v="162.80000000000001"/>
    <n v="106"/>
    <n v="13.84"/>
    <n v="272.10000000000002"/>
    <n v="85"/>
    <n v="12.24"/>
    <x v="3"/>
    <x v="4"/>
    <x v="3"/>
    <x v="0"/>
    <x v="0"/>
  </r>
  <r>
    <s v="ID"/>
    <x v="115"/>
    <s v="area_code_415"/>
    <x v="1"/>
    <x v="0"/>
    <n v="32"/>
    <n v="173"/>
    <n v="101"/>
    <n v="29.41"/>
    <n v="209.4"/>
    <n v="93"/>
    <n v="17.8"/>
    <n v="231.1"/>
    <n v="91"/>
    <n v="10.4"/>
    <x v="1"/>
    <x v="4"/>
    <x v="1"/>
    <x v="1"/>
    <x v="0"/>
  </r>
  <r>
    <s v="MD"/>
    <x v="41"/>
    <s v="area_code_415"/>
    <x v="0"/>
    <x v="1"/>
    <n v="0"/>
    <n v="224.9"/>
    <n v="102"/>
    <n v="38.229999999999997"/>
    <n v="143.80000000000001"/>
    <n v="87"/>
    <n v="12.22"/>
    <n v="198.9"/>
    <n v="105"/>
    <n v="8.9499999999999993"/>
    <x v="40"/>
    <x v="5"/>
    <x v="40"/>
    <x v="1"/>
    <x v="0"/>
  </r>
  <r>
    <s v="WY"/>
    <x v="143"/>
    <s v="area_code_415"/>
    <x v="0"/>
    <x v="1"/>
    <n v="0"/>
    <n v="137"/>
    <n v="128"/>
    <n v="23.29"/>
    <n v="217"/>
    <n v="116"/>
    <n v="18.45"/>
    <n v="182.1"/>
    <n v="86"/>
    <n v="8.19"/>
    <x v="13"/>
    <x v="1"/>
    <x v="13"/>
    <x v="2"/>
    <x v="0"/>
  </r>
  <r>
    <s v="NH"/>
    <x v="11"/>
    <s v="area_code_510"/>
    <x v="0"/>
    <x v="1"/>
    <n v="0"/>
    <n v="142.5"/>
    <n v="109"/>
    <n v="24.23"/>
    <n v="176.1"/>
    <n v="107"/>
    <n v="14.97"/>
    <n v="189.6"/>
    <n v="88"/>
    <n v="8.5299999999999994"/>
    <x v="45"/>
    <x v="0"/>
    <x v="45"/>
    <x v="2"/>
    <x v="0"/>
  </r>
  <r>
    <s v="MN"/>
    <x v="53"/>
    <s v="area_code_408"/>
    <x v="0"/>
    <x v="1"/>
    <n v="0"/>
    <n v="142.4"/>
    <n v="126"/>
    <n v="24.21"/>
    <n v="126.2"/>
    <n v="118"/>
    <n v="10.73"/>
    <n v="274.2"/>
    <n v="71"/>
    <n v="12.34"/>
    <x v="117"/>
    <x v="4"/>
    <x v="117"/>
    <x v="0"/>
    <x v="0"/>
  </r>
  <r>
    <s v="MA"/>
    <x v="102"/>
    <s v="area_code_415"/>
    <x v="0"/>
    <x v="0"/>
    <n v="21"/>
    <n v="147"/>
    <n v="112"/>
    <n v="24.99"/>
    <n v="197.3"/>
    <n v="43"/>
    <n v="16.77"/>
    <n v="267.39999999999998"/>
    <n v="93"/>
    <n v="12.03"/>
    <x v="6"/>
    <x v="0"/>
    <x v="6"/>
    <x v="2"/>
    <x v="0"/>
  </r>
  <r>
    <s v="MN"/>
    <x v="11"/>
    <s v="area_code_415"/>
    <x v="0"/>
    <x v="1"/>
    <n v="0"/>
    <n v="149.19999999999999"/>
    <n v="96"/>
    <n v="25.36"/>
    <n v="260.7"/>
    <n v="116"/>
    <n v="22.16"/>
    <n v="201"/>
    <n v="120"/>
    <n v="9.0500000000000007"/>
    <x v="111"/>
    <x v="5"/>
    <x v="111"/>
    <x v="0"/>
    <x v="0"/>
  </r>
  <r>
    <s v="NY"/>
    <x v="31"/>
    <s v="area_code_408"/>
    <x v="0"/>
    <x v="1"/>
    <n v="0"/>
    <n v="216.8"/>
    <n v="77"/>
    <n v="36.86"/>
    <n v="207.3"/>
    <n v="117"/>
    <n v="17.62"/>
    <n v="228.6"/>
    <n v="117"/>
    <n v="10.29"/>
    <x v="113"/>
    <x v="5"/>
    <x v="113"/>
    <x v="0"/>
    <x v="0"/>
  </r>
  <r>
    <s v="AL"/>
    <x v="7"/>
    <s v="area_code_510"/>
    <x v="0"/>
    <x v="0"/>
    <n v="28"/>
    <n v="308"/>
    <n v="123"/>
    <n v="52.36"/>
    <n v="247.8"/>
    <n v="128"/>
    <n v="21.06"/>
    <n v="152.9"/>
    <n v="103"/>
    <n v="6.88"/>
    <x v="33"/>
    <x v="0"/>
    <x v="33"/>
    <x v="0"/>
    <x v="0"/>
  </r>
  <r>
    <s v="WV"/>
    <x v="137"/>
    <s v="area_code_415"/>
    <x v="0"/>
    <x v="1"/>
    <n v="0"/>
    <n v="58"/>
    <n v="125"/>
    <n v="9.86"/>
    <n v="67.5"/>
    <n v="116"/>
    <n v="5.74"/>
    <n v="185.9"/>
    <n v="136"/>
    <n v="8.3699999999999992"/>
    <x v="73"/>
    <x v="0"/>
    <x v="73"/>
    <x v="1"/>
    <x v="0"/>
  </r>
  <r>
    <s v="NM"/>
    <x v="40"/>
    <s v="area_code_415"/>
    <x v="0"/>
    <x v="1"/>
    <n v="0"/>
    <n v="173.2"/>
    <n v="80"/>
    <n v="29.44"/>
    <n v="236.2"/>
    <n v="94"/>
    <n v="20.079999999999998"/>
    <n v="240.2"/>
    <n v="84"/>
    <n v="10.81"/>
    <x v="23"/>
    <x v="3"/>
    <x v="23"/>
    <x v="2"/>
    <x v="0"/>
  </r>
  <r>
    <s v="CA"/>
    <x v="3"/>
    <s v="area_code_415"/>
    <x v="0"/>
    <x v="0"/>
    <n v="19"/>
    <n v="210.3"/>
    <n v="90"/>
    <n v="35.75"/>
    <n v="241.8"/>
    <n v="87"/>
    <n v="20.55"/>
    <n v="215.7"/>
    <n v="102"/>
    <n v="9.7100000000000009"/>
    <x v="67"/>
    <x v="0"/>
    <x v="67"/>
    <x v="4"/>
    <x v="0"/>
  </r>
  <r>
    <s v="MA"/>
    <x v="49"/>
    <s v="area_code_408"/>
    <x v="0"/>
    <x v="0"/>
    <n v="24"/>
    <n v="58.9"/>
    <n v="125"/>
    <n v="10.01"/>
    <n v="305.5"/>
    <n v="90"/>
    <n v="25.97"/>
    <n v="158.9"/>
    <n v="73"/>
    <n v="7.15"/>
    <x v="47"/>
    <x v="3"/>
    <x v="47"/>
    <x v="1"/>
    <x v="0"/>
  </r>
  <r>
    <s v="ME"/>
    <x v="159"/>
    <s v="area_code_415"/>
    <x v="0"/>
    <x v="1"/>
    <n v="0"/>
    <n v="236.8"/>
    <n v="102"/>
    <n v="40.26"/>
    <n v="167.1"/>
    <n v="87"/>
    <n v="14.2"/>
    <n v="280.2"/>
    <n v="115"/>
    <n v="12.61"/>
    <x v="84"/>
    <x v="0"/>
    <x v="84"/>
    <x v="3"/>
    <x v="0"/>
  </r>
  <r>
    <s v="FL"/>
    <x v="160"/>
    <s v="area_code_415"/>
    <x v="0"/>
    <x v="1"/>
    <n v="0"/>
    <n v="228.9"/>
    <n v="102"/>
    <n v="38.909999999999997"/>
    <n v="160.69999999999999"/>
    <n v="136"/>
    <n v="13.66"/>
    <n v="203.1"/>
    <n v="109"/>
    <n v="9.14"/>
    <x v="60"/>
    <x v="5"/>
    <x v="60"/>
    <x v="1"/>
    <x v="0"/>
  </r>
  <r>
    <s v="MA"/>
    <x v="199"/>
    <s v="area_code_415"/>
    <x v="1"/>
    <x v="1"/>
    <n v="0"/>
    <n v="162.80000000000001"/>
    <n v="118"/>
    <n v="27.68"/>
    <n v="229.6"/>
    <n v="91"/>
    <n v="19.52"/>
    <n v="332.7"/>
    <n v="94"/>
    <n v="14.97"/>
    <x v="109"/>
    <x v="0"/>
    <x v="109"/>
    <x v="1"/>
    <x v="1"/>
  </r>
  <r>
    <s v="TX"/>
    <x v="4"/>
    <s v="area_code_415"/>
    <x v="0"/>
    <x v="1"/>
    <n v="0"/>
    <n v="86.1"/>
    <n v="100"/>
    <n v="14.64"/>
    <n v="259.8"/>
    <n v="113"/>
    <n v="22.08"/>
    <n v="148"/>
    <n v="79"/>
    <n v="6.66"/>
    <x v="9"/>
    <x v="6"/>
    <x v="9"/>
    <x v="2"/>
    <x v="0"/>
  </r>
  <r>
    <s v="NC"/>
    <x v="41"/>
    <s v="area_code_408"/>
    <x v="0"/>
    <x v="1"/>
    <n v="0"/>
    <n v="212.3"/>
    <n v="89"/>
    <n v="36.090000000000003"/>
    <n v="215.4"/>
    <n v="127"/>
    <n v="18.309999999999999"/>
    <n v="186.8"/>
    <n v="73"/>
    <n v="8.41"/>
    <x v="61"/>
    <x v="5"/>
    <x v="61"/>
    <x v="2"/>
    <x v="0"/>
  </r>
  <r>
    <s v="CT"/>
    <x v="146"/>
    <s v="area_code_415"/>
    <x v="0"/>
    <x v="1"/>
    <n v="0"/>
    <n v="151"/>
    <n v="98"/>
    <n v="25.67"/>
    <n v="120.6"/>
    <n v="119"/>
    <n v="10.25"/>
    <n v="152.80000000000001"/>
    <n v="81"/>
    <n v="6.88"/>
    <x v="29"/>
    <x v="5"/>
    <x v="29"/>
    <x v="2"/>
    <x v="0"/>
  </r>
  <r>
    <s v="NJ"/>
    <x v="104"/>
    <s v="area_code_408"/>
    <x v="0"/>
    <x v="1"/>
    <n v="0"/>
    <n v="158.6"/>
    <n v="67"/>
    <n v="26.96"/>
    <n v="130.4"/>
    <n v="96"/>
    <n v="11.08"/>
    <n v="229.8"/>
    <n v="80"/>
    <n v="10.34"/>
    <x v="72"/>
    <x v="1"/>
    <x v="72"/>
    <x v="2"/>
    <x v="0"/>
  </r>
  <r>
    <s v="WY"/>
    <x v="169"/>
    <s v="area_code_510"/>
    <x v="0"/>
    <x v="1"/>
    <n v="0"/>
    <n v="296"/>
    <n v="93"/>
    <n v="50.32"/>
    <n v="226.4"/>
    <n v="117"/>
    <n v="19.239999999999998"/>
    <n v="246.8"/>
    <n v="98"/>
    <n v="11.11"/>
    <x v="10"/>
    <x v="11"/>
    <x v="10"/>
    <x v="1"/>
    <x v="1"/>
  </r>
  <r>
    <s v="LA"/>
    <x v="106"/>
    <s v="area_code_510"/>
    <x v="0"/>
    <x v="0"/>
    <n v="32"/>
    <n v="212.3"/>
    <n v="77"/>
    <n v="36.090000000000003"/>
    <n v="251.5"/>
    <n v="78"/>
    <n v="21.38"/>
    <n v="208.7"/>
    <n v="85"/>
    <n v="9.39"/>
    <x v="2"/>
    <x v="5"/>
    <x v="2"/>
    <x v="3"/>
    <x v="0"/>
  </r>
  <r>
    <s v="NV"/>
    <x v="146"/>
    <s v="area_code_415"/>
    <x v="0"/>
    <x v="1"/>
    <n v="0"/>
    <n v="234.4"/>
    <n v="61"/>
    <n v="39.85"/>
    <n v="179.3"/>
    <n v="111"/>
    <n v="15.24"/>
    <n v="285.5"/>
    <n v="117"/>
    <n v="12.85"/>
    <x v="91"/>
    <x v="3"/>
    <x v="91"/>
    <x v="3"/>
    <x v="0"/>
  </r>
  <r>
    <s v="WV"/>
    <x v="139"/>
    <s v="area_code_510"/>
    <x v="0"/>
    <x v="1"/>
    <n v="0"/>
    <n v="176.8"/>
    <n v="92"/>
    <n v="30.06"/>
    <n v="187.5"/>
    <n v="97"/>
    <n v="15.94"/>
    <n v="196.8"/>
    <n v="88"/>
    <n v="8.86"/>
    <x v="94"/>
    <x v="0"/>
    <x v="94"/>
    <x v="2"/>
    <x v="0"/>
  </r>
  <r>
    <s v="AR"/>
    <x v="87"/>
    <s v="area_code_415"/>
    <x v="0"/>
    <x v="0"/>
    <n v="19"/>
    <n v="157.30000000000001"/>
    <n v="123"/>
    <n v="26.74"/>
    <n v="257.7"/>
    <n v="94"/>
    <n v="21.9"/>
    <n v="190.4"/>
    <n v="107"/>
    <n v="8.57"/>
    <x v="63"/>
    <x v="3"/>
    <x v="63"/>
    <x v="1"/>
    <x v="0"/>
  </r>
  <r>
    <s v="KS"/>
    <x v="0"/>
    <s v="area_code_415"/>
    <x v="0"/>
    <x v="1"/>
    <n v="0"/>
    <n v="260.5"/>
    <n v="108"/>
    <n v="44.29"/>
    <n v="102.4"/>
    <n v="110"/>
    <n v="8.6999999999999993"/>
    <n v="129.69999999999999"/>
    <n v="148"/>
    <n v="5.84"/>
    <x v="52"/>
    <x v="1"/>
    <x v="52"/>
    <x v="0"/>
    <x v="0"/>
  </r>
  <r>
    <s v="MI"/>
    <x v="176"/>
    <s v="area_code_408"/>
    <x v="1"/>
    <x v="1"/>
    <n v="0"/>
    <n v="124.5"/>
    <n v="134"/>
    <n v="21.17"/>
    <n v="141.19999999999999"/>
    <n v="78"/>
    <n v="12"/>
    <n v="268.2"/>
    <n v="113"/>
    <n v="12.07"/>
    <x v="37"/>
    <x v="5"/>
    <x v="37"/>
    <x v="2"/>
    <x v="1"/>
  </r>
  <r>
    <s v="MA"/>
    <x v="106"/>
    <s v="area_code_415"/>
    <x v="0"/>
    <x v="1"/>
    <n v="0"/>
    <n v="209.4"/>
    <n v="49"/>
    <n v="35.6"/>
    <n v="237.4"/>
    <n v="117"/>
    <n v="20.18"/>
    <n v="239.2"/>
    <n v="98"/>
    <n v="10.76"/>
    <x v="52"/>
    <x v="12"/>
    <x v="52"/>
    <x v="0"/>
    <x v="0"/>
  </r>
  <r>
    <s v="UT"/>
    <x v="95"/>
    <s v="area_code_415"/>
    <x v="0"/>
    <x v="1"/>
    <n v="0"/>
    <n v="285.7"/>
    <n v="44"/>
    <n v="48.57"/>
    <n v="167.5"/>
    <n v="144"/>
    <n v="14.24"/>
    <n v="260"/>
    <n v="97"/>
    <n v="11.7"/>
    <x v="6"/>
    <x v="4"/>
    <x v="6"/>
    <x v="0"/>
    <x v="1"/>
  </r>
  <r>
    <s v="HI"/>
    <x v="29"/>
    <s v="area_code_415"/>
    <x v="0"/>
    <x v="1"/>
    <n v="0"/>
    <n v="190.9"/>
    <n v="44"/>
    <n v="32.450000000000003"/>
    <n v="161.4"/>
    <n v="109"/>
    <n v="13.72"/>
    <n v="231.9"/>
    <n v="100"/>
    <n v="10.44"/>
    <x v="80"/>
    <x v="5"/>
    <x v="80"/>
    <x v="0"/>
    <x v="0"/>
  </r>
  <r>
    <s v="OR"/>
    <x v="169"/>
    <s v="area_code_415"/>
    <x v="0"/>
    <x v="0"/>
    <n v="50"/>
    <n v="208.8"/>
    <n v="130"/>
    <n v="35.5"/>
    <n v="132.9"/>
    <n v="104"/>
    <n v="11.3"/>
    <n v="136.69999999999999"/>
    <n v="107"/>
    <n v="6.15"/>
    <x v="22"/>
    <x v="4"/>
    <x v="22"/>
    <x v="2"/>
    <x v="0"/>
  </r>
  <r>
    <s v="TN"/>
    <x v="88"/>
    <s v="area_code_415"/>
    <x v="0"/>
    <x v="0"/>
    <n v="36"/>
    <n v="77.599999999999994"/>
    <n v="141"/>
    <n v="13.19"/>
    <n v="207"/>
    <n v="60"/>
    <n v="17.600000000000001"/>
    <n v="255.7"/>
    <n v="115"/>
    <n v="11.51"/>
    <x v="54"/>
    <x v="5"/>
    <x v="54"/>
    <x v="0"/>
    <x v="0"/>
  </r>
  <r>
    <s v="CT"/>
    <x v="67"/>
    <s v="area_code_415"/>
    <x v="0"/>
    <x v="1"/>
    <n v="0"/>
    <n v="271.10000000000002"/>
    <n v="101"/>
    <n v="46.09"/>
    <n v="237.4"/>
    <n v="133"/>
    <n v="20.18"/>
    <n v="145.4"/>
    <n v="103"/>
    <n v="6.54"/>
    <x v="80"/>
    <x v="3"/>
    <x v="80"/>
    <x v="0"/>
    <x v="1"/>
  </r>
  <r>
    <s v="AZ"/>
    <x v="51"/>
    <s v="area_code_415"/>
    <x v="0"/>
    <x v="1"/>
    <n v="0"/>
    <n v="240.8"/>
    <n v="104"/>
    <n v="40.94"/>
    <n v="144.5"/>
    <n v="92"/>
    <n v="12.28"/>
    <n v="125.7"/>
    <n v="98"/>
    <n v="5.66"/>
    <x v="43"/>
    <x v="8"/>
    <x v="43"/>
    <x v="1"/>
    <x v="0"/>
  </r>
  <r>
    <s v="OR"/>
    <x v="135"/>
    <s v="area_code_510"/>
    <x v="0"/>
    <x v="1"/>
    <n v="0"/>
    <n v="114.8"/>
    <n v="98"/>
    <n v="19.52"/>
    <n v="192.6"/>
    <n v="101"/>
    <n v="16.37"/>
    <n v="259"/>
    <n v="108"/>
    <n v="11.66"/>
    <x v="1"/>
    <x v="1"/>
    <x v="1"/>
    <x v="1"/>
    <x v="0"/>
  </r>
  <r>
    <s v="DE"/>
    <x v="78"/>
    <s v="area_code_415"/>
    <x v="0"/>
    <x v="0"/>
    <n v="34"/>
    <n v="138.80000000000001"/>
    <n v="80"/>
    <n v="23.6"/>
    <n v="142"/>
    <n v="108"/>
    <n v="12.07"/>
    <n v="183.8"/>
    <n v="77"/>
    <n v="8.27"/>
    <x v="23"/>
    <x v="2"/>
    <x v="23"/>
    <x v="0"/>
    <x v="0"/>
  </r>
  <r>
    <s v="MA"/>
    <x v="50"/>
    <s v="area_code_408"/>
    <x v="0"/>
    <x v="0"/>
    <n v="27"/>
    <n v="209.8"/>
    <n v="112"/>
    <n v="35.67"/>
    <n v="155"/>
    <n v="80"/>
    <n v="13.18"/>
    <n v="251.5"/>
    <n v="111"/>
    <n v="11.32"/>
    <x v="68"/>
    <x v="3"/>
    <x v="68"/>
    <x v="1"/>
    <x v="0"/>
  </r>
  <r>
    <s v="CT"/>
    <x v="167"/>
    <s v="area_code_408"/>
    <x v="0"/>
    <x v="1"/>
    <n v="0"/>
    <n v="134.9"/>
    <n v="98"/>
    <n v="22.93"/>
    <n v="248.4"/>
    <n v="130"/>
    <n v="21.11"/>
    <n v="236.2"/>
    <n v="113"/>
    <n v="10.63"/>
    <x v="20"/>
    <x v="5"/>
    <x v="20"/>
    <x v="3"/>
    <x v="0"/>
  </r>
  <r>
    <s v="AR"/>
    <x v="111"/>
    <s v="area_code_415"/>
    <x v="1"/>
    <x v="1"/>
    <n v="0"/>
    <n v="164"/>
    <n v="99"/>
    <n v="27.88"/>
    <n v="153.1"/>
    <n v="102"/>
    <n v="13.01"/>
    <n v="123.8"/>
    <n v="104"/>
    <n v="5.57"/>
    <x v="69"/>
    <x v="4"/>
    <x v="69"/>
    <x v="1"/>
    <x v="0"/>
  </r>
  <r>
    <s v="SD"/>
    <x v="132"/>
    <s v="area_code_415"/>
    <x v="0"/>
    <x v="1"/>
    <n v="0"/>
    <n v="245.5"/>
    <n v="130"/>
    <n v="41.74"/>
    <n v="192.7"/>
    <n v="54"/>
    <n v="16.38"/>
    <n v="141.69999999999999"/>
    <n v="83"/>
    <n v="6.38"/>
    <x v="9"/>
    <x v="4"/>
    <x v="9"/>
    <x v="0"/>
    <x v="0"/>
  </r>
  <r>
    <s v="CT"/>
    <x v="169"/>
    <s v="area_code_408"/>
    <x v="0"/>
    <x v="0"/>
    <n v="32"/>
    <n v="80.3"/>
    <n v="94"/>
    <n v="13.65"/>
    <n v="199.9"/>
    <n v="124"/>
    <n v="16.989999999999998"/>
    <n v="170.8"/>
    <n v="117"/>
    <n v="7.69"/>
    <x v="155"/>
    <x v="0"/>
    <x v="155"/>
    <x v="1"/>
    <x v="0"/>
  </r>
  <r>
    <s v="CT"/>
    <x v="0"/>
    <s v="area_code_408"/>
    <x v="0"/>
    <x v="1"/>
    <n v="0"/>
    <n v="90.7"/>
    <n v="90"/>
    <n v="15.42"/>
    <n v="207.5"/>
    <n v="109"/>
    <n v="17.64"/>
    <n v="169.4"/>
    <n v="96"/>
    <n v="7.62"/>
    <x v="113"/>
    <x v="1"/>
    <x v="113"/>
    <x v="2"/>
    <x v="0"/>
  </r>
  <r>
    <s v="MA"/>
    <x v="62"/>
    <s v="area_code_408"/>
    <x v="0"/>
    <x v="0"/>
    <n v="36"/>
    <n v="190.3"/>
    <n v="115"/>
    <n v="32.35"/>
    <n v="256.60000000000002"/>
    <n v="78"/>
    <n v="21.81"/>
    <n v="214.9"/>
    <n v="145"/>
    <n v="9.67"/>
    <x v="136"/>
    <x v="4"/>
    <x v="136"/>
    <x v="0"/>
    <x v="0"/>
  </r>
  <r>
    <s v="MS"/>
    <x v="26"/>
    <s v="area_code_408"/>
    <x v="0"/>
    <x v="1"/>
    <n v="0"/>
    <n v="108.6"/>
    <n v="108"/>
    <n v="18.46"/>
    <n v="209.9"/>
    <n v="126"/>
    <n v="17.84"/>
    <n v="222.6"/>
    <n v="117"/>
    <n v="10.02"/>
    <x v="57"/>
    <x v="1"/>
    <x v="57"/>
    <x v="0"/>
    <x v="1"/>
  </r>
  <r>
    <s v="AK"/>
    <x v="72"/>
    <s v="area_code_415"/>
    <x v="0"/>
    <x v="0"/>
    <n v="15"/>
    <n v="252.4"/>
    <n v="106"/>
    <n v="42.91"/>
    <n v="187.8"/>
    <n v="69"/>
    <n v="15.96"/>
    <n v="259.60000000000002"/>
    <n v="137"/>
    <n v="11.68"/>
    <x v="13"/>
    <x v="0"/>
    <x v="13"/>
    <x v="2"/>
    <x v="0"/>
  </r>
  <r>
    <s v="DE"/>
    <x v="35"/>
    <s v="area_code_415"/>
    <x v="0"/>
    <x v="0"/>
    <n v="32"/>
    <n v="183.4"/>
    <n v="94"/>
    <n v="31.18"/>
    <n v="269.10000000000002"/>
    <n v="120"/>
    <n v="22.87"/>
    <n v="203.5"/>
    <n v="38"/>
    <n v="9.16"/>
    <x v="92"/>
    <x v="4"/>
    <x v="92"/>
    <x v="5"/>
    <x v="0"/>
  </r>
  <r>
    <s v="OH"/>
    <x v="27"/>
    <s v="area_code_408"/>
    <x v="1"/>
    <x v="1"/>
    <n v="0"/>
    <n v="183.4"/>
    <n v="103"/>
    <n v="31.18"/>
    <n v="141.9"/>
    <n v="113"/>
    <n v="12.06"/>
    <n v="200.4"/>
    <n v="122"/>
    <n v="9.02"/>
    <x v="91"/>
    <x v="6"/>
    <x v="91"/>
    <x v="2"/>
    <x v="0"/>
  </r>
  <r>
    <s v="MN"/>
    <x v="29"/>
    <s v="area_code_408"/>
    <x v="0"/>
    <x v="1"/>
    <n v="0"/>
    <n v="155.19999999999999"/>
    <n v="100"/>
    <n v="26.38"/>
    <n v="135.9"/>
    <n v="84"/>
    <n v="11.55"/>
    <n v="184.6"/>
    <n v="82"/>
    <n v="8.31"/>
    <x v="136"/>
    <x v="6"/>
    <x v="136"/>
    <x v="3"/>
    <x v="0"/>
  </r>
  <r>
    <s v="CA"/>
    <x v="137"/>
    <s v="area_code_415"/>
    <x v="0"/>
    <x v="0"/>
    <n v="19"/>
    <n v="165.8"/>
    <n v="122"/>
    <n v="28.19"/>
    <n v="186.9"/>
    <n v="89"/>
    <n v="15.89"/>
    <n v="249.7"/>
    <n v="78"/>
    <n v="11.24"/>
    <x v="77"/>
    <x v="13"/>
    <x v="77"/>
    <x v="0"/>
    <x v="0"/>
  </r>
  <r>
    <s v="OH"/>
    <x v="148"/>
    <s v="area_code_510"/>
    <x v="0"/>
    <x v="1"/>
    <n v="0"/>
    <n v="209.4"/>
    <n v="67"/>
    <n v="35.6"/>
    <n v="273.8"/>
    <n v="89"/>
    <n v="23.27"/>
    <n v="150.19999999999999"/>
    <n v="88"/>
    <n v="6.76"/>
    <x v="75"/>
    <x v="8"/>
    <x v="75"/>
    <x v="1"/>
    <x v="0"/>
  </r>
  <r>
    <s v="NV"/>
    <x v="88"/>
    <s v="area_code_415"/>
    <x v="0"/>
    <x v="1"/>
    <n v="0"/>
    <n v="279.3"/>
    <n v="104"/>
    <n v="47.48"/>
    <n v="201.6"/>
    <n v="87"/>
    <n v="17.14"/>
    <n v="280.8"/>
    <n v="99"/>
    <n v="12.64"/>
    <x v="57"/>
    <x v="5"/>
    <x v="57"/>
    <x v="2"/>
    <x v="1"/>
  </r>
  <r>
    <s v="NM"/>
    <x v="76"/>
    <s v="area_code_415"/>
    <x v="1"/>
    <x v="1"/>
    <n v="0"/>
    <n v="256.5"/>
    <n v="87"/>
    <n v="43.61"/>
    <n v="222.1"/>
    <n v="101"/>
    <n v="18.88"/>
    <n v="156.69999999999999"/>
    <n v="122"/>
    <n v="7.05"/>
    <x v="14"/>
    <x v="0"/>
    <x v="14"/>
    <x v="0"/>
    <x v="0"/>
  </r>
  <r>
    <s v="WY"/>
    <x v="81"/>
    <s v="area_code_415"/>
    <x v="0"/>
    <x v="1"/>
    <n v="0"/>
    <n v="170.2"/>
    <n v="89"/>
    <n v="28.93"/>
    <n v="187.5"/>
    <n v="83"/>
    <n v="15.94"/>
    <n v="119.5"/>
    <n v="100"/>
    <n v="5.38"/>
    <x v="146"/>
    <x v="0"/>
    <x v="146"/>
    <x v="1"/>
    <x v="0"/>
  </r>
  <r>
    <s v="CA"/>
    <x v="87"/>
    <s v="area_code_408"/>
    <x v="0"/>
    <x v="1"/>
    <n v="0"/>
    <n v="139.6"/>
    <n v="92"/>
    <n v="23.73"/>
    <n v="250.2"/>
    <n v="115"/>
    <n v="21.27"/>
    <n v="158.1"/>
    <n v="79"/>
    <n v="7.11"/>
    <x v="81"/>
    <x v="4"/>
    <x v="81"/>
    <x v="0"/>
    <x v="0"/>
  </r>
  <r>
    <s v="KS"/>
    <x v="8"/>
    <s v="area_code_415"/>
    <x v="0"/>
    <x v="0"/>
    <n v="34"/>
    <n v="208.8"/>
    <n v="119"/>
    <n v="35.5"/>
    <n v="142.1"/>
    <n v="106"/>
    <n v="12.08"/>
    <n v="214.6"/>
    <n v="87"/>
    <n v="9.66"/>
    <x v="60"/>
    <x v="4"/>
    <x v="60"/>
    <x v="4"/>
    <x v="0"/>
  </r>
  <r>
    <s v="WY"/>
    <x v="142"/>
    <s v="area_code_510"/>
    <x v="0"/>
    <x v="1"/>
    <n v="0"/>
    <n v="210.1"/>
    <n v="126"/>
    <n v="35.72"/>
    <n v="248.9"/>
    <n v="108"/>
    <n v="21.16"/>
    <n v="158.6"/>
    <n v="88"/>
    <n v="7.14"/>
    <x v="90"/>
    <x v="5"/>
    <x v="90"/>
    <x v="4"/>
    <x v="0"/>
  </r>
  <r>
    <s v="UT"/>
    <x v="133"/>
    <s v="area_code_415"/>
    <x v="0"/>
    <x v="1"/>
    <n v="0"/>
    <n v="202.6"/>
    <n v="89"/>
    <n v="34.44"/>
    <n v="163"/>
    <n v="96"/>
    <n v="13.86"/>
    <n v="268.10000000000002"/>
    <n v="151"/>
    <n v="12.06"/>
    <x v="24"/>
    <x v="0"/>
    <x v="24"/>
    <x v="1"/>
    <x v="0"/>
  </r>
  <r>
    <s v="MA"/>
    <x v="142"/>
    <s v="area_code_408"/>
    <x v="0"/>
    <x v="1"/>
    <n v="0"/>
    <n v="174.4"/>
    <n v="112"/>
    <n v="29.65"/>
    <n v="265.8"/>
    <n v="122"/>
    <n v="22.59"/>
    <n v="182.4"/>
    <n v="87"/>
    <n v="8.2100000000000009"/>
    <x v="77"/>
    <x v="13"/>
    <x v="77"/>
    <x v="4"/>
    <x v="0"/>
  </r>
  <r>
    <s v="UT"/>
    <x v="65"/>
    <s v="area_code_415"/>
    <x v="0"/>
    <x v="1"/>
    <n v="0"/>
    <n v="210.6"/>
    <n v="117"/>
    <n v="35.799999999999997"/>
    <n v="164.2"/>
    <n v="103"/>
    <n v="13.96"/>
    <n v="201.4"/>
    <n v="68"/>
    <n v="9.06"/>
    <x v="27"/>
    <x v="1"/>
    <x v="27"/>
    <x v="1"/>
    <x v="0"/>
  </r>
  <r>
    <s v="MN"/>
    <x v="19"/>
    <s v="area_code_510"/>
    <x v="0"/>
    <x v="1"/>
    <n v="0"/>
    <n v="121.5"/>
    <n v="88"/>
    <n v="20.66"/>
    <n v="253"/>
    <n v="124"/>
    <n v="21.51"/>
    <n v="195.7"/>
    <n v="120"/>
    <n v="8.81"/>
    <x v="85"/>
    <x v="4"/>
    <x v="85"/>
    <x v="0"/>
    <x v="0"/>
  </r>
  <r>
    <s v="NE"/>
    <x v="62"/>
    <s v="area_code_415"/>
    <x v="0"/>
    <x v="1"/>
    <n v="0"/>
    <n v="127.8"/>
    <n v="67"/>
    <n v="21.73"/>
    <n v="181.6"/>
    <n v="112"/>
    <n v="15.44"/>
    <n v="197.3"/>
    <n v="63"/>
    <n v="8.8800000000000008"/>
    <x v="128"/>
    <x v="5"/>
    <x v="128"/>
    <x v="2"/>
    <x v="0"/>
  </r>
  <r>
    <s v="OH"/>
    <x v="52"/>
    <s v="area_code_415"/>
    <x v="0"/>
    <x v="1"/>
    <n v="0"/>
    <n v="135.19999999999999"/>
    <n v="98"/>
    <n v="22.98"/>
    <n v="242"/>
    <n v="107"/>
    <n v="20.57"/>
    <n v="246.9"/>
    <n v="96"/>
    <n v="11.11"/>
    <x v="39"/>
    <x v="5"/>
    <x v="39"/>
    <x v="2"/>
    <x v="0"/>
  </r>
  <r>
    <s v="KY"/>
    <x v="77"/>
    <s v="area_code_510"/>
    <x v="0"/>
    <x v="1"/>
    <n v="0"/>
    <n v="99.4"/>
    <n v="62"/>
    <n v="16.899999999999999"/>
    <n v="275"/>
    <n v="86"/>
    <n v="23.38"/>
    <n v="212.1"/>
    <n v="94"/>
    <n v="9.5399999999999991"/>
    <x v="124"/>
    <x v="0"/>
    <x v="124"/>
    <x v="2"/>
    <x v="0"/>
  </r>
  <r>
    <s v="WA"/>
    <x v="39"/>
    <s v="area_code_415"/>
    <x v="0"/>
    <x v="1"/>
    <n v="0"/>
    <n v="276.89999999999998"/>
    <n v="105"/>
    <n v="47.07"/>
    <n v="246.9"/>
    <n v="94"/>
    <n v="20.99"/>
    <n v="254.4"/>
    <n v="107"/>
    <n v="11.45"/>
    <x v="19"/>
    <x v="0"/>
    <x v="19"/>
    <x v="0"/>
    <x v="1"/>
  </r>
  <r>
    <s v="IN"/>
    <x v="145"/>
    <s v="area_code_510"/>
    <x v="0"/>
    <x v="1"/>
    <n v="0"/>
    <n v="287.39999999999998"/>
    <n v="116"/>
    <n v="48.86"/>
    <n v="235.3"/>
    <n v="126"/>
    <n v="20"/>
    <n v="292.10000000000002"/>
    <n v="114"/>
    <n v="13.14"/>
    <x v="105"/>
    <x v="0"/>
    <x v="105"/>
    <x v="4"/>
    <x v="1"/>
  </r>
  <r>
    <s v="CO"/>
    <x v="41"/>
    <s v="area_code_408"/>
    <x v="0"/>
    <x v="0"/>
    <n v="23"/>
    <n v="120.5"/>
    <n v="104"/>
    <n v="20.49"/>
    <n v="227.8"/>
    <n v="115"/>
    <n v="19.36"/>
    <n v="158.5"/>
    <n v="100"/>
    <n v="7.13"/>
    <x v="39"/>
    <x v="0"/>
    <x v="39"/>
    <x v="0"/>
    <x v="0"/>
  </r>
  <r>
    <s v="DC"/>
    <x v="95"/>
    <s v="area_code_510"/>
    <x v="0"/>
    <x v="1"/>
    <n v="0"/>
    <n v="184.1"/>
    <n v="106"/>
    <n v="31.3"/>
    <n v="204.9"/>
    <n v="70"/>
    <n v="17.420000000000002"/>
    <n v="224.3"/>
    <n v="133"/>
    <n v="10.09"/>
    <x v="52"/>
    <x v="0"/>
    <x v="52"/>
    <x v="2"/>
    <x v="0"/>
  </r>
  <r>
    <s v="AK"/>
    <x v="144"/>
    <s v="area_code_510"/>
    <x v="0"/>
    <x v="1"/>
    <n v="0"/>
    <n v="185"/>
    <n v="84"/>
    <n v="31.45"/>
    <n v="232.5"/>
    <n v="129"/>
    <n v="19.760000000000002"/>
    <n v="191.1"/>
    <n v="82"/>
    <n v="8.6"/>
    <x v="130"/>
    <x v="4"/>
    <x v="130"/>
    <x v="3"/>
    <x v="0"/>
  </r>
  <r>
    <s v="SC"/>
    <x v="146"/>
    <s v="area_code_415"/>
    <x v="0"/>
    <x v="1"/>
    <n v="0"/>
    <n v="160.9"/>
    <n v="109"/>
    <n v="27.35"/>
    <n v="144.19999999999999"/>
    <n v="152"/>
    <n v="12.26"/>
    <n v="120.4"/>
    <n v="97"/>
    <n v="5.42"/>
    <x v="89"/>
    <x v="14"/>
    <x v="89"/>
    <x v="0"/>
    <x v="0"/>
  </r>
  <r>
    <s v="UT"/>
    <x v="35"/>
    <s v="area_code_415"/>
    <x v="0"/>
    <x v="1"/>
    <n v="0"/>
    <n v="209.2"/>
    <n v="134"/>
    <n v="35.56"/>
    <n v="0"/>
    <n v="0"/>
    <n v="0"/>
    <n v="175.4"/>
    <n v="94"/>
    <n v="7.89"/>
    <x v="23"/>
    <x v="3"/>
    <x v="23"/>
    <x v="0"/>
    <x v="0"/>
  </r>
  <r>
    <s v="IL"/>
    <x v="28"/>
    <s v="area_code_510"/>
    <x v="1"/>
    <x v="1"/>
    <n v="0"/>
    <n v="158.4"/>
    <n v="71"/>
    <n v="26.93"/>
    <n v="306.60000000000002"/>
    <n v="66"/>
    <n v="26.06"/>
    <n v="144.19999999999999"/>
    <n v="93"/>
    <n v="6.49"/>
    <x v="156"/>
    <x v="4"/>
    <x v="156"/>
    <x v="0"/>
    <x v="0"/>
  </r>
  <r>
    <s v="DC"/>
    <x v="114"/>
    <s v="area_code_408"/>
    <x v="0"/>
    <x v="1"/>
    <n v="0"/>
    <n v="149"/>
    <n v="73"/>
    <n v="25.33"/>
    <n v="131"/>
    <n v="81"/>
    <n v="11.14"/>
    <n v="238.6"/>
    <n v="69"/>
    <n v="10.74"/>
    <x v="53"/>
    <x v="0"/>
    <x v="53"/>
    <x v="2"/>
    <x v="1"/>
  </r>
  <r>
    <s v="DC"/>
    <x v="27"/>
    <s v="area_code_510"/>
    <x v="0"/>
    <x v="1"/>
    <n v="0"/>
    <n v="204.5"/>
    <n v="63"/>
    <n v="34.770000000000003"/>
    <n v="208.8"/>
    <n v="95"/>
    <n v="17.75"/>
    <n v="224"/>
    <n v="119"/>
    <n v="10.08"/>
    <x v="52"/>
    <x v="5"/>
    <x v="52"/>
    <x v="1"/>
    <x v="0"/>
  </r>
  <r>
    <s v="OK"/>
    <x v="133"/>
    <s v="area_code_408"/>
    <x v="0"/>
    <x v="1"/>
    <n v="0"/>
    <n v="288.8"/>
    <n v="86"/>
    <n v="49.1"/>
    <n v="175.9"/>
    <n v="87"/>
    <n v="14.95"/>
    <n v="215.4"/>
    <n v="106"/>
    <n v="9.69"/>
    <x v="17"/>
    <x v="5"/>
    <x v="17"/>
    <x v="1"/>
    <x v="1"/>
  </r>
  <r>
    <s v="KY"/>
    <x v="39"/>
    <s v="area_code_415"/>
    <x v="0"/>
    <x v="0"/>
    <n v="40"/>
    <n v="108.6"/>
    <n v="90"/>
    <n v="18.46"/>
    <n v="206.4"/>
    <n v="154"/>
    <n v="17.54"/>
    <n v="126.3"/>
    <n v="118"/>
    <n v="5.68"/>
    <x v="83"/>
    <x v="4"/>
    <x v="83"/>
    <x v="1"/>
    <x v="0"/>
  </r>
  <r>
    <s v="NE"/>
    <x v="156"/>
    <s v="area_code_415"/>
    <x v="0"/>
    <x v="1"/>
    <n v="0"/>
    <n v="97.5"/>
    <n v="129"/>
    <n v="16.579999999999998"/>
    <n v="260.39999999999998"/>
    <n v="78"/>
    <n v="22.13"/>
    <n v="88.7"/>
    <n v="100"/>
    <n v="3.99"/>
    <x v="99"/>
    <x v="1"/>
    <x v="99"/>
    <x v="0"/>
    <x v="0"/>
  </r>
  <r>
    <s v="AL"/>
    <x v="145"/>
    <s v="area_code_415"/>
    <x v="0"/>
    <x v="1"/>
    <n v="0"/>
    <n v="166.5"/>
    <n v="102"/>
    <n v="28.31"/>
    <n v="261"/>
    <n v="103"/>
    <n v="22.19"/>
    <n v="262.7"/>
    <n v="85"/>
    <n v="11.82"/>
    <x v="64"/>
    <x v="1"/>
    <x v="64"/>
    <x v="1"/>
    <x v="0"/>
  </r>
  <r>
    <s v="HI"/>
    <x v="114"/>
    <s v="area_code_415"/>
    <x v="0"/>
    <x v="1"/>
    <n v="0"/>
    <n v="156.19999999999999"/>
    <n v="104"/>
    <n v="26.55"/>
    <n v="90"/>
    <n v="101"/>
    <n v="7.65"/>
    <n v="205.1"/>
    <n v="116"/>
    <n v="9.23"/>
    <x v="48"/>
    <x v="1"/>
    <x v="48"/>
    <x v="0"/>
    <x v="0"/>
  </r>
  <r>
    <s v="GA"/>
    <x v="6"/>
    <s v="area_code_415"/>
    <x v="1"/>
    <x v="1"/>
    <n v="0"/>
    <n v="287.39999999999998"/>
    <n v="118"/>
    <n v="48.86"/>
    <n v="259.60000000000002"/>
    <n v="84"/>
    <n v="22.07"/>
    <n v="153.19999999999999"/>
    <n v="86"/>
    <n v="6.89"/>
    <x v="13"/>
    <x v="0"/>
    <x v="13"/>
    <x v="0"/>
    <x v="1"/>
  </r>
  <r>
    <s v="KS"/>
    <x v="1"/>
    <s v="area_code_415"/>
    <x v="0"/>
    <x v="0"/>
    <n v="19"/>
    <n v="175.3"/>
    <n v="96"/>
    <n v="29.8"/>
    <n v="241.3"/>
    <n v="146"/>
    <n v="20.51"/>
    <n v="211.4"/>
    <n v="109"/>
    <n v="9.51"/>
    <x v="35"/>
    <x v="5"/>
    <x v="35"/>
    <x v="1"/>
    <x v="0"/>
  </r>
  <r>
    <s v="PA"/>
    <x v="27"/>
    <s v="area_code_408"/>
    <x v="0"/>
    <x v="1"/>
    <n v="0"/>
    <n v="102.1"/>
    <n v="75"/>
    <n v="17.36"/>
    <n v="219.5"/>
    <n v="97"/>
    <n v="18.66"/>
    <n v="73.7"/>
    <n v="92"/>
    <n v="3.32"/>
    <x v="52"/>
    <x v="1"/>
    <x v="52"/>
    <x v="1"/>
    <x v="0"/>
  </r>
  <r>
    <s v="UT"/>
    <x v="11"/>
    <s v="area_code_415"/>
    <x v="0"/>
    <x v="1"/>
    <n v="0"/>
    <n v="157.9"/>
    <n v="103"/>
    <n v="26.84"/>
    <n v="259.60000000000002"/>
    <n v="90"/>
    <n v="22.07"/>
    <n v="230"/>
    <n v="117"/>
    <n v="10.35"/>
    <x v="100"/>
    <x v="5"/>
    <x v="100"/>
    <x v="1"/>
    <x v="0"/>
  </r>
  <r>
    <s v="OR"/>
    <x v="55"/>
    <s v="area_code_415"/>
    <x v="0"/>
    <x v="0"/>
    <n v="19"/>
    <n v="146.5"/>
    <n v="73"/>
    <n v="24.91"/>
    <n v="246.4"/>
    <n v="65"/>
    <n v="20.94"/>
    <n v="199"/>
    <n v="114"/>
    <n v="8.9600000000000009"/>
    <x v="119"/>
    <x v="4"/>
    <x v="119"/>
    <x v="0"/>
    <x v="0"/>
  </r>
  <r>
    <s v="ND"/>
    <x v="79"/>
    <s v="area_code_415"/>
    <x v="0"/>
    <x v="1"/>
    <n v="0"/>
    <n v="245.8"/>
    <n v="116"/>
    <n v="41.79"/>
    <n v="286.7"/>
    <n v="91"/>
    <n v="24.37"/>
    <n v="240.7"/>
    <n v="115"/>
    <n v="10.83"/>
    <x v="62"/>
    <x v="15"/>
    <x v="62"/>
    <x v="0"/>
    <x v="1"/>
  </r>
  <r>
    <s v="MN"/>
    <x v="61"/>
    <s v="area_code_408"/>
    <x v="1"/>
    <x v="1"/>
    <n v="0"/>
    <n v="250.8"/>
    <n v="146"/>
    <n v="42.64"/>
    <n v="152.5"/>
    <n v="105"/>
    <n v="12.96"/>
    <n v="148.1"/>
    <n v="104"/>
    <n v="6.66"/>
    <x v="13"/>
    <x v="1"/>
    <x v="13"/>
    <x v="2"/>
    <x v="0"/>
  </r>
  <r>
    <s v="TX"/>
    <x v="101"/>
    <s v="area_code_415"/>
    <x v="0"/>
    <x v="1"/>
    <n v="0"/>
    <n v="119.7"/>
    <n v="113"/>
    <n v="20.350000000000001"/>
    <n v="189.7"/>
    <n v="84"/>
    <n v="16.12"/>
    <n v="256.2"/>
    <n v="108"/>
    <n v="11.53"/>
    <x v="89"/>
    <x v="2"/>
    <x v="89"/>
    <x v="2"/>
    <x v="0"/>
  </r>
  <r>
    <s v="WY"/>
    <x v="106"/>
    <s v="area_code_415"/>
    <x v="0"/>
    <x v="1"/>
    <n v="0"/>
    <n v="242.2"/>
    <n v="87"/>
    <n v="41.17"/>
    <n v="226.1"/>
    <n v="101"/>
    <n v="19.22"/>
    <n v="268.60000000000002"/>
    <n v="121"/>
    <n v="12.09"/>
    <x v="45"/>
    <x v="0"/>
    <x v="45"/>
    <x v="5"/>
    <x v="1"/>
  </r>
  <r>
    <s v="GA"/>
    <x v="27"/>
    <s v="area_code_415"/>
    <x v="0"/>
    <x v="1"/>
    <n v="0"/>
    <n v="163.4"/>
    <n v="83"/>
    <n v="27.78"/>
    <n v="249.3"/>
    <n v="119"/>
    <n v="21.19"/>
    <n v="249.7"/>
    <n v="90"/>
    <n v="11.24"/>
    <x v="52"/>
    <x v="4"/>
    <x v="52"/>
    <x v="6"/>
    <x v="0"/>
  </r>
  <r>
    <s v="TX"/>
    <x v="20"/>
    <s v="area_code_415"/>
    <x v="0"/>
    <x v="1"/>
    <n v="0"/>
    <n v="161"/>
    <n v="113"/>
    <n v="27.37"/>
    <n v="208"/>
    <n v="134"/>
    <n v="17.68"/>
    <n v="208.1"/>
    <n v="81"/>
    <n v="9.36"/>
    <x v="80"/>
    <x v="4"/>
    <x v="80"/>
    <x v="3"/>
    <x v="0"/>
  </r>
  <r>
    <s v="WV"/>
    <x v="86"/>
    <s v="area_code_408"/>
    <x v="0"/>
    <x v="1"/>
    <n v="0"/>
    <n v="128.69999999999999"/>
    <n v="111"/>
    <n v="21.88"/>
    <n v="169.5"/>
    <n v="104"/>
    <n v="14.41"/>
    <n v="193.6"/>
    <n v="97"/>
    <n v="8.7100000000000009"/>
    <x v="19"/>
    <x v="1"/>
    <x v="19"/>
    <x v="0"/>
    <x v="0"/>
  </r>
  <r>
    <s v="NM"/>
    <x v="126"/>
    <s v="area_code_415"/>
    <x v="0"/>
    <x v="1"/>
    <n v="0"/>
    <n v="81.599999999999994"/>
    <n v="94"/>
    <n v="13.87"/>
    <n v="268.10000000000002"/>
    <n v="112"/>
    <n v="22.79"/>
    <n v="140.80000000000001"/>
    <n v="75"/>
    <n v="6.34"/>
    <x v="53"/>
    <x v="16"/>
    <x v="53"/>
    <x v="0"/>
    <x v="0"/>
  </r>
  <r>
    <s v="MI"/>
    <x v="132"/>
    <s v="area_code_415"/>
    <x v="0"/>
    <x v="0"/>
    <n v="20"/>
    <n v="207.7"/>
    <n v="91"/>
    <n v="35.31"/>
    <n v="199.7"/>
    <n v="113"/>
    <n v="16.97"/>
    <n v="216.5"/>
    <n v="110"/>
    <n v="9.74"/>
    <x v="48"/>
    <x v="8"/>
    <x v="48"/>
    <x v="0"/>
    <x v="0"/>
  </r>
  <r>
    <s v="NY"/>
    <x v="41"/>
    <s v="area_code_415"/>
    <x v="0"/>
    <x v="1"/>
    <n v="0"/>
    <n v="233.3"/>
    <n v="65"/>
    <n v="39.659999999999997"/>
    <n v="209.8"/>
    <n v="93"/>
    <n v="17.829999999999998"/>
    <n v="210.6"/>
    <n v="109"/>
    <n v="9.48"/>
    <x v="9"/>
    <x v="4"/>
    <x v="9"/>
    <x v="0"/>
    <x v="0"/>
  </r>
  <r>
    <s v="KY"/>
    <x v="28"/>
    <s v="area_code_415"/>
    <x v="0"/>
    <x v="0"/>
    <n v="36"/>
    <n v="168"/>
    <n v="81"/>
    <n v="28.56"/>
    <n v="163.19999999999999"/>
    <n v="125"/>
    <n v="13.87"/>
    <n v="172.7"/>
    <n v="120"/>
    <n v="7.77"/>
    <x v="40"/>
    <x v="5"/>
    <x v="40"/>
    <x v="8"/>
    <x v="1"/>
  </r>
  <r>
    <s v="SD"/>
    <x v="102"/>
    <s v="area_code_415"/>
    <x v="0"/>
    <x v="1"/>
    <n v="0"/>
    <n v="251.6"/>
    <n v="88"/>
    <n v="42.77"/>
    <n v="175.1"/>
    <n v="103"/>
    <n v="14.88"/>
    <n v="184.4"/>
    <n v="112"/>
    <n v="8.3000000000000007"/>
    <x v="11"/>
    <x v="1"/>
    <x v="11"/>
    <x v="0"/>
    <x v="0"/>
  </r>
  <r>
    <s v="ID"/>
    <x v="48"/>
    <s v="area_code_415"/>
    <x v="0"/>
    <x v="0"/>
    <n v="30"/>
    <n v="183.8"/>
    <n v="102"/>
    <n v="31.25"/>
    <n v="183.4"/>
    <n v="123"/>
    <n v="15.59"/>
    <n v="235"/>
    <n v="52"/>
    <n v="10.58"/>
    <x v="43"/>
    <x v="2"/>
    <x v="43"/>
    <x v="1"/>
    <x v="0"/>
  </r>
  <r>
    <s v="OR"/>
    <x v="63"/>
    <s v="area_code_408"/>
    <x v="0"/>
    <x v="1"/>
    <n v="0"/>
    <n v="256.39999999999998"/>
    <n v="44"/>
    <n v="43.59"/>
    <n v="214.5"/>
    <n v="105"/>
    <n v="18.23"/>
    <n v="233.7"/>
    <n v="75"/>
    <n v="10.52"/>
    <x v="57"/>
    <x v="8"/>
    <x v="57"/>
    <x v="3"/>
    <x v="1"/>
  </r>
  <r>
    <s v="WI"/>
    <x v="78"/>
    <s v="area_code_415"/>
    <x v="0"/>
    <x v="1"/>
    <n v="0"/>
    <n v="180.2"/>
    <n v="134"/>
    <n v="30.63"/>
    <n v="97.7"/>
    <n v="85"/>
    <n v="8.3000000000000007"/>
    <n v="181.7"/>
    <n v="134"/>
    <n v="8.18"/>
    <x v="80"/>
    <x v="0"/>
    <x v="80"/>
    <x v="0"/>
    <x v="0"/>
  </r>
  <r>
    <s v="WV"/>
    <x v="181"/>
    <s v="area_code_408"/>
    <x v="0"/>
    <x v="1"/>
    <n v="0"/>
    <n v="227.8"/>
    <n v="81"/>
    <n v="38.729999999999997"/>
    <n v="161.80000000000001"/>
    <n v="97"/>
    <n v="13.75"/>
    <n v="217"/>
    <n v="106"/>
    <n v="9.76"/>
    <x v="40"/>
    <x v="1"/>
    <x v="40"/>
    <x v="0"/>
    <x v="0"/>
  </r>
  <r>
    <s v="SC"/>
    <x v="44"/>
    <s v="area_code_415"/>
    <x v="0"/>
    <x v="0"/>
    <n v="20"/>
    <n v="147.80000000000001"/>
    <n v="132"/>
    <n v="25.13"/>
    <n v="276.8"/>
    <n v="94"/>
    <n v="23.53"/>
    <n v="149.9"/>
    <n v="110"/>
    <n v="6.75"/>
    <x v="39"/>
    <x v="3"/>
    <x v="39"/>
    <x v="1"/>
    <x v="0"/>
  </r>
  <r>
    <s v="CT"/>
    <x v="31"/>
    <s v="area_code_415"/>
    <x v="0"/>
    <x v="1"/>
    <n v="0"/>
    <n v="234.9"/>
    <n v="136"/>
    <n v="39.93"/>
    <n v="270.8"/>
    <n v="134"/>
    <n v="23.02"/>
    <n v="219.3"/>
    <n v="101"/>
    <n v="9.8699999999999992"/>
    <x v="55"/>
    <x v="5"/>
    <x v="55"/>
    <x v="0"/>
    <x v="1"/>
  </r>
  <r>
    <s v="NV"/>
    <x v="43"/>
    <s v="area_code_408"/>
    <x v="0"/>
    <x v="1"/>
    <n v="0"/>
    <n v="110.9"/>
    <n v="54"/>
    <n v="18.850000000000001"/>
    <n v="213.4"/>
    <n v="82"/>
    <n v="18.14"/>
    <n v="186.2"/>
    <n v="116"/>
    <n v="8.3800000000000008"/>
    <x v="57"/>
    <x v="5"/>
    <x v="57"/>
    <x v="2"/>
    <x v="0"/>
  </r>
  <r>
    <s v="MI"/>
    <x v="88"/>
    <s v="area_code_415"/>
    <x v="1"/>
    <x v="1"/>
    <n v="0"/>
    <n v="233.5"/>
    <n v="81"/>
    <n v="39.700000000000003"/>
    <n v="187.7"/>
    <n v="71"/>
    <n v="15.95"/>
    <n v="122.3"/>
    <n v="97"/>
    <n v="5.5"/>
    <x v="63"/>
    <x v="5"/>
    <x v="63"/>
    <x v="1"/>
    <x v="1"/>
  </r>
  <r>
    <s v="MT"/>
    <x v="5"/>
    <s v="area_code_415"/>
    <x v="0"/>
    <x v="0"/>
    <n v="35"/>
    <n v="197.3"/>
    <n v="134"/>
    <n v="33.54"/>
    <n v="141.1"/>
    <n v="99"/>
    <n v="11.99"/>
    <n v="212.1"/>
    <n v="90"/>
    <n v="9.5399999999999991"/>
    <x v="3"/>
    <x v="4"/>
    <x v="3"/>
    <x v="2"/>
    <x v="1"/>
  </r>
  <r>
    <s v="NE"/>
    <x v="11"/>
    <s v="area_code_510"/>
    <x v="0"/>
    <x v="1"/>
    <n v="0"/>
    <n v="58.2"/>
    <n v="96"/>
    <n v="9.89"/>
    <n v="202.1"/>
    <n v="126"/>
    <n v="17.18"/>
    <n v="210.5"/>
    <n v="97"/>
    <n v="9.4700000000000006"/>
    <x v="91"/>
    <x v="1"/>
    <x v="91"/>
    <x v="1"/>
    <x v="0"/>
  </r>
  <r>
    <s v="UT"/>
    <x v="197"/>
    <s v="area_code_510"/>
    <x v="0"/>
    <x v="1"/>
    <n v="0"/>
    <n v="212.7"/>
    <n v="72"/>
    <n v="36.159999999999997"/>
    <n v="225.2"/>
    <n v="90"/>
    <n v="19.14"/>
    <n v="195.1"/>
    <n v="99"/>
    <n v="8.7799999999999994"/>
    <x v="99"/>
    <x v="3"/>
    <x v="99"/>
    <x v="0"/>
    <x v="0"/>
  </r>
  <r>
    <s v="WV"/>
    <x v="62"/>
    <s v="area_code_415"/>
    <x v="0"/>
    <x v="1"/>
    <n v="0"/>
    <n v="151.5"/>
    <n v="89"/>
    <n v="25.76"/>
    <n v="131.69999999999999"/>
    <n v="78"/>
    <n v="11.19"/>
    <n v="235.3"/>
    <n v="131"/>
    <n v="10.59"/>
    <x v="23"/>
    <x v="4"/>
    <x v="23"/>
    <x v="1"/>
    <x v="0"/>
  </r>
  <r>
    <s v="AR"/>
    <x v="66"/>
    <s v="area_code_415"/>
    <x v="1"/>
    <x v="1"/>
    <n v="0"/>
    <n v="146.30000000000001"/>
    <n v="117"/>
    <n v="24.87"/>
    <n v="218.7"/>
    <n v="93"/>
    <n v="18.59"/>
    <n v="236"/>
    <n v="97"/>
    <n v="10.62"/>
    <x v="73"/>
    <x v="1"/>
    <x v="73"/>
    <x v="0"/>
    <x v="0"/>
  </r>
  <r>
    <s v="MT"/>
    <x v="19"/>
    <s v="area_code_408"/>
    <x v="0"/>
    <x v="1"/>
    <n v="0"/>
    <n v="195.1"/>
    <n v="100"/>
    <n v="33.17"/>
    <n v="148.80000000000001"/>
    <n v="95"/>
    <n v="12.65"/>
    <n v="224.5"/>
    <n v="117"/>
    <n v="10.1"/>
    <x v="92"/>
    <x v="5"/>
    <x v="92"/>
    <x v="1"/>
    <x v="0"/>
  </r>
  <r>
    <s v="UT"/>
    <x v="82"/>
    <s v="area_code_510"/>
    <x v="0"/>
    <x v="1"/>
    <n v="0"/>
    <n v="208.9"/>
    <n v="71"/>
    <n v="35.51"/>
    <n v="214.8"/>
    <n v="92"/>
    <n v="18.260000000000002"/>
    <n v="247.9"/>
    <n v="108"/>
    <n v="11.16"/>
    <x v="14"/>
    <x v="1"/>
    <x v="14"/>
    <x v="0"/>
    <x v="0"/>
  </r>
  <r>
    <s v="HI"/>
    <x v="63"/>
    <s v="area_code_408"/>
    <x v="0"/>
    <x v="1"/>
    <n v="0"/>
    <n v="135.69999999999999"/>
    <n v="107"/>
    <n v="23.07"/>
    <n v="208.4"/>
    <n v="103"/>
    <n v="17.71"/>
    <n v="209"/>
    <n v="95"/>
    <n v="9.4"/>
    <x v="82"/>
    <x v="0"/>
    <x v="82"/>
    <x v="6"/>
    <x v="1"/>
  </r>
  <r>
    <s v="KS"/>
    <x v="2"/>
    <s v="area_code_415"/>
    <x v="0"/>
    <x v="1"/>
    <n v="0"/>
    <n v="225.9"/>
    <n v="86"/>
    <n v="38.4"/>
    <n v="275.60000000000002"/>
    <n v="105"/>
    <n v="23.43"/>
    <n v="201.4"/>
    <n v="108"/>
    <n v="9.06"/>
    <x v="108"/>
    <x v="0"/>
    <x v="108"/>
    <x v="3"/>
    <x v="1"/>
  </r>
  <r>
    <s v="OH"/>
    <x v="137"/>
    <s v="area_code_510"/>
    <x v="0"/>
    <x v="1"/>
    <n v="0"/>
    <n v="153.30000000000001"/>
    <n v="106"/>
    <n v="26.06"/>
    <n v="224.5"/>
    <n v="117"/>
    <n v="19.079999999999998"/>
    <n v="273.39999999999998"/>
    <n v="152"/>
    <n v="12.3"/>
    <x v="56"/>
    <x v="1"/>
    <x v="56"/>
    <x v="2"/>
    <x v="0"/>
  </r>
  <r>
    <s v="IN"/>
    <x v="190"/>
    <s v="area_code_415"/>
    <x v="0"/>
    <x v="1"/>
    <n v="0"/>
    <n v="206.7"/>
    <n v="87"/>
    <n v="35.14"/>
    <n v="281.10000000000002"/>
    <n v="83"/>
    <n v="23.89"/>
    <n v="158.5"/>
    <n v="77"/>
    <n v="7.13"/>
    <x v="34"/>
    <x v="1"/>
    <x v="34"/>
    <x v="3"/>
    <x v="0"/>
  </r>
  <r>
    <s v="OR"/>
    <x v="121"/>
    <s v="area_code_415"/>
    <x v="0"/>
    <x v="0"/>
    <n v="12"/>
    <n v="188"/>
    <n v="105"/>
    <n v="31.96"/>
    <n v="151.30000000000001"/>
    <n v="107"/>
    <n v="12.86"/>
    <n v="201.9"/>
    <n v="132"/>
    <n v="9.09"/>
    <x v="26"/>
    <x v="0"/>
    <x v="26"/>
    <x v="2"/>
    <x v="0"/>
  </r>
  <r>
    <s v="NY"/>
    <x v="100"/>
    <s v="area_code_408"/>
    <x v="1"/>
    <x v="1"/>
    <n v="0"/>
    <n v="122.3"/>
    <n v="83"/>
    <n v="20.79"/>
    <n v="118.8"/>
    <n v="94"/>
    <n v="10.1"/>
    <n v="147.9"/>
    <n v="95"/>
    <n v="6.66"/>
    <x v="0"/>
    <x v="0"/>
    <x v="0"/>
    <x v="3"/>
    <x v="1"/>
  </r>
  <r>
    <s v="VA"/>
    <x v="102"/>
    <s v="area_code_415"/>
    <x v="0"/>
    <x v="1"/>
    <n v="0"/>
    <n v="259.3"/>
    <n v="96"/>
    <n v="44.08"/>
    <n v="175.2"/>
    <n v="97"/>
    <n v="14.89"/>
    <n v="222.4"/>
    <n v="36"/>
    <n v="10.01"/>
    <x v="42"/>
    <x v="1"/>
    <x v="42"/>
    <x v="3"/>
    <x v="0"/>
  </r>
  <r>
    <s v="MI"/>
    <x v="65"/>
    <s v="area_code_408"/>
    <x v="1"/>
    <x v="1"/>
    <n v="0"/>
    <n v="115.1"/>
    <n v="114"/>
    <n v="19.57"/>
    <n v="211.3"/>
    <n v="70"/>
    <n v="17.96"/>
    <n v="136.1"/>
    <n v="85"/>
    <n v="6.12"/>
    <x v="12"/>
    <x v="0"/>
    <x v="12"/>
    <x v="2"/>
    <x v="1"/>
  </r>
  <r>
    <s v="ID"/>
    <x v="152"/>
    <s v="area_code_415"/>
    <x v="0"/>
    <x v="0"/>
    <n v="28"/>
    <n v="172.9"/>
    <n v="109"/>
    <n v="29.39"/>
    <n v="137.6"/>
    <n v="94"/>
    <n v="11.7"/>
    <n v="203.8"/>
    <n v="109"/>
    <n v="9.17"/>
    <x v="24"/>
    <x v="3"/>
    <x v="24"/>
    <x v="0"/>
    <x v="0"/>
  </r>
  <r>
    <s v="MO"/>
    <x v="116"/>
    <s v="area_code_415"/>
    <x v="1"/>
    <x v="1"/>
    <n v="0"/>
    <n v="156.4"/>
    <n v="116"/>
    <n v="26.59"/>
    <n v="130.4"/>
    <n v="114"/>
    <n v="11.08"/>
    <n v="207.3"/>
    <n v="109"/>
    <n v="9.33"/>
    <x v="48"/>
    <x v="1"/>
    <x v="48"/>
    <x v="0"/>
    <x v="0"/>
  </r>
  <r>
    <s v="AL"/>
    <x v="178"/>
    <s v="area_code_415"/>
    <x v="0"/>
    <x v="0"/>
    <n v="24"/>
    <n v="128.1"/>
    <n v="104"/>
    <n v="21.78"/>
    <n v="143.4"/>
    <n v="127"/>
    <n v="12.19"/>
    <n v="191"/>
    <n v="98"/>
    <n v="8.59"/>
    <x v="43"/>
    <x v="0"/>
    <x v="43"/>
    <x v="0"/>
    <x v="0"/>
  </r>
  <r>
    <s v="VT"/>
    <x v="59"/>
    <s v="area_code_408"/>
    <x v="0"/>
    <x v="1"/>
    <n v="0"/>
    <n v="227.9"/>
    <n v="130"/>
    <n v="38.74"/>
    <n v="302.60000000000002"/>
    <n v="71"/>
    <n v="25.72"/>
    <n v="191.5"/>
    <n v="82"/>
    <n v="8.6199999999999992"/>
    <x v="129"/>
    <x v="2"/>
    <x v="129"/>
    <x v="0"/>
    <x v="1"/>
  </r>
  <r>
    <s v="AZ"/>
    <x v="155"/>
    <s v="area_code_415"/>
    <x v="0"/>
    <x v="0"/>
    <n v="31"/>
    <n v="194.9"/>
    <n v="63"/>
    <n v="33.130000000000003"/>
    <n v="191.6"/>
    <n v="90"/>
    <n v="16.29"/>
    <n v="153"/>
    <n v="129"/>
    <n v="6.89"/>
    <x v="32"/>
    <x v="5"/>
    <x v="32"/>
    <x v="2"/>
    <x v="0"/>
  </r>
  <r>
    <s v="VA"/>
    <x v="48"/>
    <s v="area_code_408"/>
    <x v="0"/>
    <x v="0"/>
    <n v="34"/>
    <n v="44.9"/>
    <n v="63"/>
    <n v="7.63"/>
    <n v="134.19999999999999"/>
    <n v="82"/>
    <n v="11.41"/>
    <n v="168.4"/>
    <n v="118"/>
    <n v="7.58"/>
    <x v="64"/>
    <x v="0"/>
    <x v="64"/>
    <x v="0"/>
    <x v="0"/>
  </r>
  <r>
    <s v="PA"/>
    <x v="137"/>
    <s v="area_code_408"/>
    <x v="0"/>
    <x v="0"/>
    <n v="30"/>
    <n v="262.8"/>
    <n v="114"/>
    <n v="44.68"/>
    <n v="215.8"/>
    <n v="130"/>
    <n v="18.34"/>
    <n v="154.80000000000001"/>
    <n v="88"/>
    <n v="6.97"/>
    <x v="35"/>
    <x v="5"/>
    <x v="35"/>
    <x v="1"/>
    <x v="0"/>
  </r>
  <r>
    <s v="CO"/>
    <x v="144"/>
    <s v="area_code_415"/>
    <x v="0"/>
    <x v="1"/>
    <n v="0"/>
    <n v="211.2"/>
    <n v="70"/>
    <n v="35.9"/>
    <n v="252.7"/>
    <n v="122"/>
    <n v="21.48"/>
    <n v="225.8"/>
    <n v="104"/>
    <n v="10.16"/>
    <x v="10"/>
    <x v="0"/>
    <x v="10"/>
    <x v="1"/>
    <x v="0"/>
  </r>
  <r>
    <s v="NJ"/>
    <x v="137"/>
    <s v="area_code_510"/>
    <x v="0"/>
    <x v="1"/>
    <n v="0"/>
    <n v="223.2"/>
    <n v="109"/>
    <n v="37.94"/>
    <n v="127.5"/>
    <n v="86"/>
    <n v="10.84"/>
    <n v="289.3"/>
    <n v="83"/>
    <n v="13.02"/>
    <x v="25"/>
    <x v="4"/>
    <x v="25"/>
    <x v="3"/>
    <x v="0"/>
  </r>
  <r>
    <s v="IL"/>
    <x v="6"/>
    <s v="area_code_408"/>
    <x v="0"/>
    <x v="1"/>
    <n v="0"/>
    <n v="119"/>
    <n v="82"/>
    <n v="20.23"/>
    <n v="187.5"/>
    <n v="108"/>
    <n v="15.94"/>
    <n v="189.3"/>
    <n v="97"/>
    <n v="8.52"/>
    <x v="73"/>
    <x v="0"/>
    <x v="73"/>
    <x v="0"/>
    <x v="0"/>
  </r>
  <r>
    <s v="WA"/>
    <x v="181"/>
    <s v="area_code_415"/>
    <x v="0"/>
    <x v="1"/>
    <n v="0"/>
    <n v="266.10000000000002"/>
    <n v="91"/>
    <n v="45.24"/>
    <n v="225.2"/>
    <n v="79"/>
    <n v="19.14"/>
    <n v="224.7"/>
    <n v="58"/>
    <n v="10.11"/>
    <x v="56"/>
    <x v="10"/>
    <x v="56"/>
    <x v="3"/>
    <x v="1"/>
  </r>
  <r>
    <s v="OH"/>
    <x v="103"/>
    <s v="area_code_415"/>
    <x v="0"/>
    <x v="1"/>
    <n v="0"/>
    <n v="170.5"/>
    <n v="103"/>
    <n v="28.99"/>
    <n v="254.3"/>
    <n v="77"/>
    <n v="21.62"/>
    <n v="197.3"/>
    <n v="138"/>
    <n v="8.8800000000000008"/>
    <x v="26"/>
    <x v="5"/>
    <x v="26"/>
    <x v="2"/>
    <x v="0"/>
  </r>
  <r>
    <s v="MO"/>
    <x v="77"/>
    <s v="area_code_415"/>
    <x v="0"/>
    <x v="1"/>
    <n v="0"/>
    <n v="178.5"/>
    <n v="124"/>
    <n v="30.35"/>
    <n v="146.9"/>
    <n v="141"/>
    <n v="12.49"/>
    <n v="217.1"/>
    <n v="102"/>
    <n v="9.77"/>
    <x v="79"/>
    <x v="2"/>
    <x v="79"/>
    <x v="0"/>
    <x v="0"/>
  </r>
  <r>
    <s v="MD"/>
    <x v="207"/>
    <s v="area_code_510"/>
    <x v="0"/>
    <x v="1"/>
    <n v="0"/>
    <n v="205.2"/>
    <n v="145"/>
    <n v="34.880000000000003"/>
    <n v="154.80000000000001"/>
    <n v="95"/>
    <n v="13.16"/>
    <n v="191.4"/>
    <n v="77"/>
    <n v="8.61"/>
    <x v="71"/>
    <x v="1"/>
    <x v="71"/>
    <x v="3"/>
    <x v="0"/>
  </r>
  <r>
    <s v="OH"/>
    <x v="89"/>
    <s v="area_code_415"/>
    <x v="0"/>
    <x v="0"/>
    <n v="31"/>
    <n v="232.8"/>
    <n v="97"/>
    <n v="39.58"/>
    <n v="183.5"/>
    <n v="111"/>
    <n v="15.6"/>
    <n v="206.8"/>
    <n v="111"/>
    <n v="9.31"/>
    <x v="14"/>
    <x v="5"/>
    <x v="14"/>
    <x v="1"/>
    <x v="0"/>
  </r>
  <r>
    <s v="VA"/>
    <x v="139"/>
    <s v="area_code_408"/>
    <x v="0"/>
    <x v="0"/>
    <n v="39"/>
    <n v="239.9"/>
    <n v="107"/>
    <n v="40.78"/>
    <n v="253.8"/>
    <n v="77"/>
    <n v="21.57"/>
    <n v="128.69999999999999"/>
    <n v="85"/>
    <n v="5.79"/>
    <x v="92"/>
    <x v="0"/>
    <x v="92"/>
    <x v="5"/>
    <x v="0"/>
  </r>
  <r>
    <s v="FL"/>
    <x v="87"/>
    <s v="area_code_408"/>
    <x v="0"/>
    <x v="1"/>
    <n v="0"/>
    <n v="55.6"/>
    <n v="97"/>
    <n v="9.4499999999999993"/>
    <n v="288.7"/>
    <n v="83"/>
    <n v="24.54"/>
    <n v="111.2"/>
    <n v="110"/>
    <n v="5"/>
    <x v="47"/>
    <x v="0"/>
    <x v="47"/>
    <x v="2"/>
    <x v="0"/>
  </r>
  <r>
    <s v="NY"/>
    <x v="75"/>
    <s v="area_code_510"/>
    <x v="0"/>
    <x v="1"/>
    <n v="0"/>
    <n v="109.8"/>
    <n v="100"/>
    <n v="18.670000000000002"/>
    <n v="189.6"/>
    <n v="104"/>
    <n v="16.12"/>
    <n v="206.7"/>
    <n v="85"/>
    <n v="9.3000000000000007"/>
    <x v="22"/>
    <x v="0"/>
    <x v="22"/>
    <x v="0"/>
    <x v="0"/>
  </r>
  <r>
    <s v="WV"/>
    <x v="100"/>
    <s v="area_code_415"/>
    <x v="0"/>
    <x v="1"/>
    <n v="0"/>
    <n v="196.1"/>
    <n v="89"/>
    <n v="33.340000000000003"/>
    <n v="185.5"/>
    <n v="87"/>
    <n v="15.77"/>
    <n v="250"/>
    <n v="132"/>
    <n v="11.25"/>
    <x v="133"/>
    <x v="3"/>
    <x v="133"/>
    <x v="2"/>
    <x v="0"/>
  </r>
  <r>
    <s v="LA"/>
    <x v="160"/>
    <s v="area_code_510"/>
    <x v="0"/>
    <x v="1"/>
    <n v="0"/>
    <n v="166.8"/>
    <n v="127"/>
    <n v="28.36"/>
    <n v="143.5"/>
    <n v="121"/>
    <n v="12.2"/>
    <n v="210.7"/>
    <n v="130"/>
    <n v="9.48"/>
    <x v="23"/>
    <x v="4"/>
    <x v="23"/>
    <x v="1"/>
    <x v="0"/>
  </r>
  <r>
    <s v="AL"/>
    <x v="7"/>
    <s v="area_code_408"/>
    <x v="0"/>
    <x v="1"/>
    <n v="0"/>
    <n v="242.8"/>
    <n v="90"/>
    <n v="41.28"/>
    <n v="234.1"/>
    <n v="80"/>
    <n v="19.899999999999999"/>
    <n v="211.5"/>
    <n v="104"/>
    <n v="9.52"/>
    <x v="120"/>
    <x v="0"/>
    <x v="120"/>
    <x v="5"/>
    <x v="0"/>
  </r>
  <r>
    <s v="TX"/>
    <x v="162"/>
    <s v="area_code_408"/>
    <x v="0"/>
    <x v="1"/>
    <n v="0"/>
    <n v="266.7"/>
    <n v="105"/>
    <n v="45.34"/>
    <n v="158.19999999999999"/>
    <n v="88"/>
    <n v="13.45"/>
    <n v="287.7"/>
    <n v="111"/>
    <n v="12.95"/>
    <x v="12"/>
    <x v="0"/>
    <x v="12"/>
    <x v="3"/>
    <x v="1"/>
  </r>
  <r>
    <s v="ND"/>
    <x v="76"/>
    <s v="area_code_415"/>
    <x v="0"/>
    <x v="0"/>
    <n v="23"/>
    <n v="182"/>
    <n v="80"/>
    <n v="30.94"/>
    <n v="216.1"/>
    <n v="85"/>
    <n v="18.37"/>
    <n v="156.9"/>
    <n v="82"/>
    <n v="7.06"/>
    <x v="52"/>
    <x v="4"/>
    <x v="52"/>
    <x v="0"/>
    <x v="0"/>
  </r>
  <r>
    <s v="CO"/>
    <x v="20"/>
    <s v="area_code_415"/>
    <x v="0"/>
    <x v="1"/>
    <n v="0"/>
    <n v="85.9"/>
    <n v="92"/>
    <n v="14.6"/>
    <n v="193.9"/>
    <n v="127"/>
    <n v="16.48"/>
    <n v="231.5"/>
    <n v="93"/>
    <n v="10.42"/>
    <x v="3"/>
    <x v="5"/>
    <x v="3"/>
    <x v="1"/>
    <x v="0"/>
  </r>
  <r>
    <s v="LA"/>
    <x v="106"/>
    <s v="area_code_415"/>
    <x v="0"/>
    <x v="0"/>
    <n v="33"/>
    <n v="146.6"/>
    <n v="87"/>
    <n v="24.92"/>
    <n v="114.8"/>
    <n v="59"/>
    <n v="9.76"/>
    <n v="220.4"/>
    <n v="99"/>
    <n v="9.92"/>
    <x v="147"/>
    <x v="2"/>
    <x v="147"/>
    <x v="1"/>
    <x v="0"/>
  </r>
  <r>
    <s v="MT"/>
    <x v="78"/>
    <s v="area_code_510"/>
    <x v="0"/>
    <x v="0"/>
    <n v="35"/>
    <n v="110.5"/>
    <n v="101"/>
    <n v="18.79"/>
    <n v="208.3"/>
    <n v="81"/>
    <n v="17.71"/>
    <n v="87.4"/>
    <n v="77"/>
    <n v="3.93"/>
    <x v="55"/>
    <x v="5"/>
    <x v="55"/>
    <x v="4"/>
    <x v="1"/>
  </r>
  <r>
    <s v="OR"/>
    <x v="116"/>
    <s v="area_code_415"/>
    <x v="0"/>
    <x v="1"/>
    <n v="0"/>
    <n v="118.6"/>
    <n v="89"/>
    <n v="20.16"/>
    <n v="199.6"/>
    <n v="97"/>
    <n v="16.97"/>
    <n v="53.3"/>
    <n v="61"/>
    <n v="2.4"/>
    <x v="73"/>
    <x v="1"/>
    <x v="73"/>
    <x v="0"/>
    <x v="0"/>
  </r>
  <r>
    <s v="NH"/>
    <x v="106"/>
    <s v="area_code_415"/>
    <x v="0"/>
    <x v="0"/>
    <n v="22"/>
    <n v="197.6"/>
    <n v="105"/>
    <n v="33.590000000000003"/>
    <n v="80"/>
    <n v="86"/>
    <n v="6.8"/>
    <n v="120.8"/>
    <n v="82"/>
    <n v="5.44"/>
    <x v="95"/>
    <x v="14"/>
    <x v="95"/>
    <x v="2"/>
    <x v="0"/>
  </r>
  <r>
    <s v="NE"/>
    <x v="26"/>
    <s v="area_code_510"/>
    <x v="0"/>
    <x v="0"/>
    <n v="32"/>
    <n v="210.3"/>
    <n v="116"/>
    <n v="35.75"/>
    <n v="192.2"/>
    <n v="83"/>
    <n v="16.34"/>
    <n v="246.1"/>
    <n v="92"/>
    <n v="11.07"/>
    <x v="81"/>
    <x v="4"/>
    <x v="81"/>
    <x v="8"/>
    <x v="0"/>
  </r>
  <r>
    <s v="WV"/>
    <x v="116"/>
    <s v="area_code_415"/>
    <x v="0"/>
    <x v="0"/>
    <n v="28"/>
    <n v="220.3"/>
    <n v="96"/>
    <n v="37.450000000000003"/>
    <n v="285.8"/>
    <n v="72"/>
    <n v="24.29"/>
    <n v="203"/>
    <n v="111"/>
    <n v="9.14"/>
    <x v="27"/>
    <x v="3"/>
    <x v="27"/>
    <x v="4"/>
    <x v="0"/>
  </r>
  <r>
    <s v="MA"/>
    <x v="93"/>
    <s v="area_code_415"/>
    <x v="0"/>
    <x v="0"/>
    <n v="34"/>
    <n v="161.69999999999999"/>
    <n v="114"/>
    <n v="27.49"/>
    <n v="207.6"/>
    <n v="115"/>
    <n v="17.649999999999999"/>
    <n v="205.7"/>
    <n v="114"/>
    <n v="9.26"/>
    <x v="29"/>
    <x v="4"/>
    <x v="29"/>
    <x v="1"/>
    <x v="0"/>
  </r>
  <r>
    <s v="KY"/>
    <x v="32"/>
    <s v="area_code_415"/>
    <x v="1"/>
    <x v="1"/>
    <n v="0"/>
    <n v="146.69999999999999"/>
    <n v="83"/>
    <n v="24.94"/>
    <n v="148.30000000000001"/>
    <n v="91"/>
    <n v="12.61"/>
    <n v="238.6"/>
    <n v="69"/>
    <n v="10.74"/>
    <x v="60"/>
    <x v="0"/>
    <x v="60"/>
    <x v="3"/>
    <x v="0"/>
  </r>
  <r>
    <s v="WV"/>
    <x v="184"/>
    <s v="area_code_510"/>
    <x v="0"/>
    <x v="1"/>
    <n v="0"/>
    <n v="109.4"/>
    <n v="103"/>
    <n v="18.600000000000001"/>
    <n v="101.3"/>
    <n v="111"/>
    <n v="8.61"/>
    <n v="167.3"/>
    <n v="106"/>
    <n v="7.53"/>
    <x v="35"/>
    <x v="2"/>
    <x v="35"/>
    <x v="0"/>
    <x v="0"/>
  </r>
  <r>
    <s v="KY"/>
    <x v="29"/>
    <s v="area_code_510"/>
    <x v="0"/>
    <x v="1"/>
    <n v="0"/>
    <n v="144.1"/>
    <n v="115"/>
    <n v="24.5"/>
    <n v="249.8"/>
    <n v="68"/>
    <n v="21.23"/>
    <n v="211.4"/>
    <n v="82"/>
    <n v="9.51"/>
    <x v="109"/>
    <x v="0"/>
    <x v="109"/>
    <x v="0"/>
    <x v="0"/>
  </r>
  <r>
    <s v="NJ"/>
    <x v="3"/>
    <s v="area_code_415"/>
    <x v="0"/>
    <x v="0"/>
    <n v="42"/>
    <n v="248.9"/>
    <n v="93"/>
    <n v="42.31"/>
    <n v="170.8"/>
    <n v="108"/>
    <n v="14.52"/>
    <n v="104.5"/>
    <n v="91"/>
    <n v="4.7"/>
    <x v="7"/>
    <x v="10"/>
    <x v="7"/>
    <x v="0"/>
    <x v="0"/>
  </r>
  <r>
    <s v="ME"/>
    <x v="105"/>
    <s v="area_code_415"/>
    <x v="0"/>
    <x v="1"/>
    <n v="0"/>
    <n v="85.7"/>
    <n v="112"/>
    <n v="14.57"/>
    <n v="221.6"/>
    <n v="70"/>
    <n v="18.84"/>
    <n v="190.6"/>
    <n v="75"/>
    <n v="8.58"/>
    <x v="43"/>
    <x v="0"/>
    <x v="43"/>
    <x v="4"/>
    <x v="1"/>
  </r>
  <r>
    <s v="TX"/>
    <x v="126"/>
    <s v="area_code_415"/>
    <x v="0"/>
    <x v="1"/>
    <n v="0"/>
    <n v="214.8"/>
    <n v="112"/>
    <n v="36.520000000000003"/>
    <n v="209.7"/>
    <n v="104"/>
    <n v="17.82"/>
    <n v="164.4"/>
    <n v="97"/>
    <n v="7.4"/>
    <x v="27"/>
    <x v="1"/>
    <x v="27"/>
    <x v="3"/>
    <x v="0"/>
  </r>
  <r>
    <s v="MN"/>
    <x v="48"/>
    <s v="area_code_408"/>
    <x v="0"/>
    <x v="1"/>
    <n v="0"/>
    <n v="158.9"/>
    <n v="137"/>
    <n v="27.01"/>
    <n v="242.8"/>
    <n v="109"/>
    <n v="20.64"/>
    <n v="247.8"/>
    <n v="97"/>
    <n v="11.15"/>
    <x v="94"/>
    <x v="4"/>
    <x v="94"/>
    <x v="1"/>
    <x v="0"/>
  </r>
  <r>
    <s v="VA"/>
    <x v="4"/>
    <s v="area_code_510"/>
    <x v="0"/>
    <x v="0"/>
    <n v="28"/>
    <n v="110"/>
    <n v="94"/>
    <n v="18.7"/>
    <n v="141.5"/>
    <n v="76"/>
    <n v="12.03"/>
    <n v="237.3"/>
    <n v="87"/>
    <n v="10.68"/>
    <x v="69"/>
    <x v="0"/>
    <x v="69"/>
    <x v="2"/>
    <x v="0"/>
  </r>
  <r>
    <s v="DC"/>
    <x v="58"/>
    <s v="area_code_415"/>
    <x v="0"/>
    <x v="1"/>
    <n v="0"/>
    <n v="152.80000000000001"/>
    <n v="145"/>
    <n v="25.98"/>
    <n v="183.6"/>
    <n v="102"/>
    <n v="15.61"/>
    <n v="151.80000000000001"/>
    <n v="75"/>
    <n v="6.83"/>
    <x v="26"/>
    <x v="5"/>
    <x v="26"/>
    <x v="0"/>
    <x v="0"/>
  </r>
  <r>
    <s v="MD"/>
    <x v="53"/>
    <s v="area_code_415"/>
    <x v="0"/>
    <x v="1"/>
    <n v="0"/>
    <n v="145.6"/>
    <n v="103"/>
    <n v="24.75"/>
    <n v="197.1"/>
    <n v="137"/>
    <n v="16.75"/>
    <n v="294.5"/>
    <n v="83"/>
    <n v="13.25"/>
    <x v="26"/>
    <x v="4"/>
    <x v="26"/>
    <x v="1"/>
    <x v="0"/>
  </r>
  <r>
    <s v="RI"/>
    <x v="129"/>
    <s v="area_code_408"/>
    <x v="0"/>
    <x v="1"/>
    <n v="0"/>
    <n v="93.3"/>
    <n v="83"/>
    <n v="15.86"/>
    <n v="199.6"/>
    <n v="114"/>
    <n v="16.97"/>
    <n v="206.2"/>
    <n v="104"/>
    <n v="9.2799999999999994"/>
    <x v="94"/>
    <x v="4"/>
    <x v="94"/>
    <x v="1"/>
    <x v="0"/>
  </r>
  <r>
    <s v="MA"/>
    <x v="34"/>
    <s v="area_code_408"/>
    <x v="0"/>
    <x v="1"/>
    <n v="0"/>
    <n v="216.8"/>
    <n v="134"/>
    <n v="36.86"/>
    <n v="187.8"/>
    <n v="106"/>
    <n v="15.96"/>
    <n v="138.1"/>
    <n v="108"/>
    <n v="6.21"/>
    <x v="24"/>
    <x v="5"/>
    <x v="24"/>
    <x v="1"/>
    <x v="0"/>
  </r>
  <r>
    <s v="MD"/>
    <x v="165"/>
    <s v="area_code_408"/>
    <x v="0"/>
    <x v="1"/>
    <n v="0"/>
    <n v="201.9"/>
    <n v="101"/>
    <n v="34.32"/>
    <n v="154.69999999999999"/>
    <n v="78"/>
    <n v="13.15"/>
    <n v="164.4"/>
    <n v="79"/>
    <n v="7.4"/>
    <x v="62"/>
    <x v="5"/>
    <x v="62"/>
    <x v="0"/>
    <x v="0"/>
  </r>
  <r>
    <s v="NM"/>
    <x v="102"/>
    <s v="area_code_408"/>
    <x v="0"/>
    <x v="1"/>
    <n v="0"/>
    <n v="146.4"/>
    <n v="81"/>
    <n v="24.89"/>
    <n v="225.1"/>
    <n v="80"/>
    <n v="19.13"/>
    <n v="230.1"/>
    <n v="117"/>
    <n v="10.35"/>
    <x v="31"/>
    <x v="5"/>
    <x v="31"/>
    <x v="0"/>
    <x v="0"/>
  </r>
  <r>
    <s v="MN"/>
    <x v="20"/>
    <s v="area_code_415"/>
    <x v="0"/>
    <x v="1"/>
    <n v="0"/>
    <n v="272.7"/>
    <n v="74"/>
    <n v="46.36"/>
    <n v="224.9"/>
    <n v="85"/>
    <n v="19.12"/>
    <n v="178.2"/>
    <n v="104"/>
    <n v="8.02"/>
    <x v="26"/>
    <x v="0"/>
    <x v="26"/>
    <x v="2"/>
    <x v="1"/>
  </r>
  <r>
    <s v="AZ"/>
    <x v="105"/>
    <s v="area_code_415"/>
    <x v="0"/>
    <x v="1"/>
    <n v="0"/>
    <n v="172.8"/>
    <n v="81"/>
    <n v="29.38"/>
    <n v="193.4"/>
    <n v="90"/>
    <n v="16.440000000000001"/>
    <n v="89.6"/>
    <n v="107"/>
    <n v="4.03"/>
    <x v="75"/>
    <x v="1"/>
    <x v="75"/>
    <x v="2"/>
    <x v="0"/>
  </r>
  <r>
    <s v="AL"/>
    <x v="11"/>
    <s v="area_code_408"/>
    <x v="0"/>
    <x v="1"/>
    <n v="0"/>
    <n v="190.2"/>
    <n v="119"/>
    <n v="32.33"/>
    <n v="157.1"/>
    <n v="70"/>
    <n v="13.35"/>
    <n v="181.5"/>
    <n v="120"/>
    <n v="8.17"/>
    <x v="100"/>
    <x v="3"/>
    <x v="100"/>
    <x v="1"/>
    <x v="0"/>
  </r>
  <r>
    <s v="MI"/>
    <x v="5"/>
    <s v="area_code_415"/>
    <x v="0"/>
    <x v="1"/>
    <n v="0"/>
    <n v="130.6"/>
    <n v="83"/>
    <n v="22.2"/>
    <n v="208.1"/>
    <n v="144"/>
    <n v="17.690000000000001"/>
    <n v="204.6"/>
    <n v="72"/>
    <n v="9.2100000000000009"/>
    <x v="95"/>
    <x v="0"/>
    <x v="95"/>
    <x v="3"/>
    <x v="0"/>
  </r>
  <r>
    <s v="SC"/>
    <x v="116"/>
    <s v="area_code_415"/>
    <x v="0"/>
    <x v="1"/>
    <n v="0"/>
    <n v="158.4"/>
    <n v="92"/>
    <n v="26.93"/>
    <n v="188"/>
    <n v="117"/>
    <n v="15.98"/>
    <n v="219.7"/>
    <n v="125"/>
    <n v="9.89"/>
    <x v="88"/>
    <x v="4"/>
    <x v="88"/>
    <x v="4"/>
    <x v="1"/>
  </r>
  <r>
    <s v="MS"/>
    <x v="85"/>
    <s v="area_code_415"/>
    <x v="0"/>
    <x v="1"/>
    <n v="0"/>
    <n v="166.5"/>
    <n v="111"/>
    <n v="28.31"/>
    <n v="236.2"/>
    <n v="98"/>
    <n v="20.079999999999998"/>
    <n v="205.6"/>
    <n v="92"/>
    <n v="9.25"/>
    <x v="95"/>
    <x v="5"/>
    <x v="95"/>
    <x v="0"/>
    <x v="0"/>
  </r>
  <r>
    <s v="MS"/>
    <x v="78"/>
    <s v="area_code_415"/>
    <x v="0"/>
    <x v="1"/>
    <n v="0"/>
    <n v="129.30000000000001"/>
    <n v="103"/>
    <n v="21.98"/>
    <n v="202.8"/>
    <n v="89"/>
    <n v="17.239999999999998"/>
    <n v="233"/>
    <n v="126"/>
    <n v="10.49"/>
    <x v="89"/>
    <x v="5"/>
    <x v="89"/>
    <x v="2"/>
    <x v="0"/>
  </r>
  <r>
    <s v="CA"/>
    <x v="55"/>
    <s v="area_code_415"/>
    <x v="0"/>
    <x v="1"/>
    <n v="0"/>
    <n v="199.3"/>
    <n v="112"/>
    <n v="33.880000000000003"/>
    <n v="193.4"/>
    <n v="120"/>
    <n v="16.440000000000001"/>
    <n v="254.4"/>
    <n v="117"/>
    <n v="11.45"/>
    <x v="99"/>
    <x v="11"/>
    <x v="99"/>
    <x v="1"/>
    <x v="0"/>
  </r>
  <r>
    <s v="MD"/>
    <x v="7"/>
    <s v="area_code_415"/>
    <x v="0"/>
    <x v="1"/>
    <n v="0"/>
    <n v="185.1"/>
    <n v="126"/>
    <n v="31.47"/>
    <n v="233"/>
    <n v="98"/>
    <n v="19.809999999999999"/>
    <n v="152.19999999999999"/>
    <n v="106"/>
    <n v="6.85"/>
    <x v="9"/>
    <x v="2"/>
    <x v="9"/>
    <x v="1"/>
    <x v="0"/>
  </r>
  <r>
    <s v="ND"/>
    <x v="44"/>
    <s v="area_code_408"/>
    <x v="0"/>
    <x v="1"/>
    <n v="0"/>
    <n v="175.4"/>
    <n v="80"/>
    <n v="29.82"/>
    <n v="197.4"/>
    <n v="127"/>
    <n v="16.78"/>
    <n v="188.2"/>
    <n v="102"/>
    <n v="8.4700000000000006"/>
    <x v="84"/>
    <x v="5"/>
    <x v="84"/>
    <x v="2"/>
    <x v="0"/>
  </r>
  <r>
    <s v="IL"/>
    <x v="100"/>
    <s v="area_code_510"/>
    <x v="0"/>
    <x v="1"/>
    <n v="0"/>
    <n v="263.39999999999998"/>
    <n v="123"/>
    <n v="44.78"/>
    <n v="151.9"/>
    <n v="74"/>
    <n v="12.91"/>
    <n v="218.5"/>
    <n v="101"/>
    <n v="9.83"/>
    <x v="85"/>
    <x v="5"/>
    <x v="85"/>
    <x v="2"/>
    <x v="0"/>
  </r>
  <r>
    <s v="SD"/>
    <x v="115"/>
    <s v="area_code_510"/>
    <x v="0"/>
    <x v="1"/>
    <n v="0"/>
    <n v="94.2"/>
    <n v="108"/>
    <n v="16.010000000000002"/>
    <n v="264.10000000000002"/>
    <n v="100"/>
    <n v="22.45"/>
    <n v="203.7"/>
    <n v="79"/>
    <n v="9.17"/>
    <x v="48"/>
    <x v="0"/>
    <x v="48"/>
    <x v="0"/>
    <x v="0"/>
  </r>
  <r>
    <s v="AL"/>
    <x v="126"/>
    <s v="area_code_510"/>
    <x v="0"/>
    <x v="1"/>
    <n v="0"/>
    <n v="189.4"/>
    <n v="83"/>
    <n v="32.200000000000003"/>
    <n v="219"/>
    <n v="89"/>
    <n v="18.62"/>
    <n v="168"/>
    <n v="116"/>
    <n v="7.56"/>
    <x v="5"/>
    <x v="10"/>
    <x v="5"/>
    <x v="3"/>
    <x v="0"/>
  </r>
  <r>
    <s v="NV"/>
    <x v="43"/>
    <s v="area_code_510"/>
    <x v="0"/>
    <x v="0"/>
    <n v="35"/>
    <n v="118"/>
    <n v="103"/>
    <n v="20.059999999999999"/>
    <n v="167.2"/>
    <n v="106"/>
    <n v="14.21"/>
    <n v="205.7"/>
    <n v="102"/>
    <n v="9.26"/>
    <x v="23"/>
    <x v="5"/>
    <x v="23"/>
    <x v="2"/>
    <x v="0"/>
  </r>
  <r>
    <s v="LA"/>
    <x v="60"/>
    <s v="area_code_415"/>
    <x v="0"/>
    <x v="1"/>
    <n v="0"/>
    <n v="212.1"/>
    <n v="98"/>
    <n v="36.06"/>
    <n v="189.4"/>
    <n v="89"/>
    <n v="16.100000000000001"/>
    <n v="352.2"/>
    <n v="95"/>
    <n v="15.85"/>
    <x v="80"/>
    <x v="1"/>
    <x v="80"/>
    <x v="3"/>
    <x v="0"/>
  </r>
  <r>
    <s v="DE"/>
    <x v="113"/>
    <s v="area_code_415"/>
    <x v="0"/>
    <x v="0"/>
    <n v="31"/>
    <n v="222.8"/>
    <n v="98"/>
    <n v="37.880000000000003"/>
    <n v="180.5"/>
    <n v="105"/>
    <n v="15.34"/>
    <n v="151.30000000000001"/>
    <n v="101"/>
    <n v="6.81"/>
    <x v="14"/>
    <x v="4"/>
    <x v="14"/>
    <x v="1"/>
    <x v="0"/>
  </r>
  <r>
    <s v="CT"/>
    <x v="69"/>
    <s v="area_code_408"/>
    <x v="0"/>
    <x v="0"/>
    <n v="25"/>
    <n v="190"/>
    <n v="137"/>
    <n v="32.299999999999997"/>
    <n v="116.6"/>
    <n v="76"/>
    <n v="9.91"/>
    <n v="141.5"/>
    <n v="110"/>
    <n v="6.37"/>
    <x v="1"/>
    <x v="5"/>
    <x v="1"/>
    <x v="0"/>
    <x v="0"/>
  </r>
  <r>
    <s v="CO"/>
    <x v="17"/>
    <s v="area_code_408"/>
    <x v="0"/>
    <x v="1"/>
    <n v="0"/>
    <n v="271.8"/>
    <n v="129"/>
    <n v="46.21"/>
    <n v="237.2"/>
    <n v="128"/>
    <n v="20.16"/>
    <n v="210.1"/>
    <n v="91"/>
    <n v="9.4499999999999993"/>
    <x v="6"/>
    <x v="5"/>
    <x v="6"/>
    <x v="4"/>
    <x v="1"/>
  </r>
  <r>
    <s v="MA"/>
    <x v="66"/>
    <s v="area_code_408"/>
    <x v="0"/>
    <x v="0"/>
    <n v="29"/>
    <n v="195.4"/>
    <n v="83"/>
    <n v="33.22"/>
    <n v="268.2"/>
    <n v="93"/>
    <n v="22.8"/>
    <n v="168"/>
    <n v="95"/>
    <n v="7.56"/>
    <x v="80"/>
    <x v="3"/>
    <x v="80"/>
    <x v="3"/>
    <x v="0"/>
  </r>
  <r>
    <s v="OR"/>
    <x v="123"/>
    <s v="area_code_510"/>
    <x v="0"/>
    <x v="1"/>
    <n v="0"/>
    <n v="199.6"/>
    <n v="93"/>
    <n v="33.93"/>
    <n v="214.3"/>
    <n v="99"/>
    <n v="18.22"/>
    <n v="196.8"/>
    <n v="110"/>
    <n v="8.86"/>
    <x v="68"/>
    <x v="1"/>
    <x v="68"/>
    <x v="3"/>
    <x v="0"/>
  </r>
  <r>
    <s v="SC"/>
    <x v="26"/>
    <s v="area_code_415"/>
    <x v="0"/>
    <x v="0"/>
    <n v="21"/>
    <n v="160.6"/>
    <n v="85"/>
    <n v="27.3"/>
    <n v="223.1"/>
    <n v="79"/>
    <n v="18.96"/>
    <n v="124"/>
    <n v="92"/>
    <n v="5.58"/>
    <x v="17"/>
    <x v="8"/>
    <x v="17"/>
    <x v="2"/>
    <x v="0"/>
  </r>
  <r>
    <s v="IN"/>
    <x v="88"/>
    <s v="area_code_415"/>
    <x v="0"/>
    <x v="0"/>
    <n v="26"/>
    <n v="158.69999999999999"/>
    <n v="91"/>
    <n v="26.98"/>
    <n v="160.5"/>
    <n v="127"/>
    <n v="13.64"/>
    <n v="218.3"/>
    <n v="88"/>
    <n v="9.82"/>
    <x v="79"/>
    <x v="0"/>
    <x v="79"/>
    <x v="0"/>
    <x v="0"/>
  </r>
  <r>
    <s v="MD"/>
    <x v="185"/>
    <s v="area_code_510"/>
    <x v="0"/>
    <x v="1"/>
    <n v="0"/>
    <n v="154.5"/>
    <n v="122"/>
    <n v="26.27"/>
    <n v="214.2"/>
    <n v="71"/>
    <n v="18.21"/>
    <n v="178"/>
    <n v="105"/>
    <n v="8.01"/>
    <x v="42"/>
    <x v="5"/>
    <x v="42"/>
    <x v="3"/>
    <x v="1"/>
  </r>
  <r>
    <s v="NV"/>
    <x v="77"/>
    <s v="area_code_408"/>
    <x v="0"/>
    <x v="0"/>
    <n v="34"/>
    <n v="192.3"/>
    <n v="114"/>
    <n v="32.69"/>
    <n v="129.30000000000001"/>
    <n v="114"/>
    <n v="10.99"/>
    <n v="136.30000000000001"/>
    <n v="102"/>
    <n v="6.13"/>
    <x v="21"/>
    <x v="14"/>
    <x v="21"/>
    <x v="0"/>
    <x v="0"/>
  </r>
  <r>
    <s v="TX"/>
    <x v="3"/>
    <s v="area_code_415"/>
    <x v="0"/>
    <x v="1"/>
    <n v="0"/>
    <n v="305.10000000000002"/>
    <n v="106"/>
    <n v="51.87"/>
    <n v="188"/>
    <n v="115"/>
    <n v="15.98"/>
    <n v="235.4"/>
    <n v="116"/>
    <n v="10.59"/>
    <x v="31"/>
    <x v="1"/>
    <x v="31"/>
    <x v="1"/>
    <x v="1"/>
  </r>
  <r>
    <s v="WV"/>
    <x v="48"/>
    <s v="area_code_510"/>
    <x v="0"/>
    <x v="1"/>
    <n v="0"/>
    <n v="72.5"/>
    <n v="88"/>
    <n v="12.33"/>
    <n v="204"/>
    <n v="112"/>
    <n v="17.34"/>
    <n v="117.9"/>
    <n v="118"/>
    <n v="5.31"/>
    <x v="2"/>
    <x v="0"/>
    <x v="2"/>
    <x v="0"/>
    <x v="0"/>
  </r>
  <r>
    <s v="CO"/>
    <x v="177"/>
    <s v="area_code_510"/>
    <x v="0"/>
    <x v="0"/>
    <n v="40"/>
    <n v="105.2"/>
    <n v="61"/>
    <n v="17.88"/>
    <n v="341.3"/>
    <n v="79"/>
    <n v="29.01"/>
    <n v="165.7"/>
    <n v="97"/>
    <n v="7.46"/>
    <x v="21"/>
    <x v="0"/>
    <x v="21"/>
    <x v="2"/>
    <x v="0"/>
  </r>
  <r>
    <s v="TX"/>
    <x v="97"/>
    <s v="area_code_415"/>
    <x v="0"/>
    <x v="1"/>
    <n v="0"/>
    <n v="180.5"/>
    <n v="88"/>
    <n v="30.69"/>
    <n v="134.69999999999999"/>
    <n v="102"/>
    <n v="11.45"/>
    <n v="170.7"/>
    <n v="97"/>
    <n v="7.68"/>
    <x v="13"/>
    <x v="0"/>
    <x v="13"/>
    <x v="2"/>
    <x v="0"/>
  </r>
  <r>
    <s v="FL"/>
    <x v="147"/>
    <s v="area_code_408"/>
    <x v="0"/>
    <x v="0"/>
    <n v="29"/>
    <n v="214.7"/>
    <n v="86"/>
    <n v="36.5"/>
    <n v="314.3"/>
    <n v="109"/>
    <n v="26.72"/>
    <n v="280.2"/>
    <n v="110"/>
    <n v="12.61"/>
    <x v="108"/>
    <x v="5"/>
    <x v="108"/>
    <x v="1"/>
    <x v="0"/>
  </r>
  <r>
    <s v="AL"/>
    <x v="0"/>
    <s v="area_code_408"/>
    <x v="0"/>
    <x v="1"/>
    <n v="0"/>
    <n v="86.8"/>
    <n v="95"/>
    <n v="14.76"/>
    <n v="108.1"/>
    <n v="85"/>
    <n v="9.19"/>
    <n v="204.3"/>
    <n v="87"/>
    <n v="9.19"/>
    <x v="32"/>
    <x v="0"/>
    <x v="32"/>
    <x v="0"/>
    <x v="0"/>
  </r>
  <r>
    <s v="WV"/>
    <x v="105"/>
    <s v="area_code_510"/>
    <x v="0"/>
    <x v="1"/>
    <n v="0"/>
    <n v="131.5"/>
    <n v="99"/>
    <n v="22.36"/>
    <n v="174.8"/>
    <n v="128"/>
    <n v="14.86"/>
    <n v="184.2"/>
    <n v="83"/>
    <n v="8.2899999999999991"/>
    <x v="57"/>
    <x v="5"/>
    <x v="57"/>
    <x v="5"/>
    <x v="1"/>
  </r>
  <r>
    <s v="MI"/>
    <x v="55"/>
    <s v="area_code_415"/>
    <x v="0"/>
    <x v="1"/>
    <n v="0"/>
    <n v="135.4"/>
    <n v="102"/>
    <n v="23.02"/>
    <n v="237.1"/>
    <n v="122"/>
    <n v="20.149999999999999"/>
    <n v="118.3"/>
    <n v="91"/>
    <n v="5.32"/>
    <x v="112"/>
    <x v="4"/>
    <x v="112"/>
    <x v="1"/>
    <x v="0"/>
  </r>
  <r>
    <s v="NY"/>
    <x v="207"/>
    <s v="area_code_415"/>
    <x v="0"/>
    <x v="1"/>
    <n v="0"/>
    <n v="174.3"/>
    <n v="85"/>
    <n v="29.63"/>
    <n v="254.1"/>
    <n v="95"/>
    <n v="21.6"/>
    <n v="176.4"/>
    <n v="96"/>
    <n v="7.94"/>
    <x v="96"/>
    <x v="0"/>
    <x v="96"/>
    <x v="8"/>
    <x v="0"/>
  </r>
  <r>
    <s v="MS"/>
    <x v="17"/>
    <s v="area_code_510"/>
    <x v="0"/>
    <x v="1"/>
    <n v="0"/>
    <n v="203.9"/>
    <n v="63"/>
    <n v="34.659999999999997"/>
    <n v="191.8"/>
    <n v="93"/>
    <n v="16.3"/>
    <n v="132.5"/>
    <n v="125"/>
    <n v="5.96"/>
    <x v="47"/>
    <x v="4"/>
    <x v="47"/>
    <x v="3"/>
    <x v="0"/>
  </r>
  <r>
    <s v="MO"/>
    <x v="42"/>
    <s v="area_code_510"/>
    <x v="0"/>
    <x v="1"/>
    <n v="0"/>
    <n v="235.5"/>
    <n v="108"/>
    <n v="40.04"/>
    <n v="142.30000000000001"/>
    <n v="143"/>
    <n v="12.1"/>
    <n v="316.7"/>
    <n v="131"/>
    <n v="14.25"/>
    <x v="60"/>
    <x v="1"/>
    <x v="60"/>
    <x v="1"/>
    <x v="0"/>
  </r>
  <r>
    <s v="AR"/>
    <x v="131"/>
    <s v="area_code_415"/>
    <x v="0"/>
    <x v="1"/>
    <n v="0"/>
    <n v="157"/>
    <n v="113"/>
    <n v="26.69"/>
    <n v="256.89999999999998"/>
    <n v="97"/>
    <n v="21.84"/>
    <n v="185.5"/>
    <n v="126"/>
    <n v="8.35"/>
    <x v="47"/>
    <x v="5"/>
    <x v="47"/>
    <x v="2"/>
    <x v="0"/>
  </r>
  <r>
    <s v="MS"/>
    <x v="151"/>
    <s v="area_code_415"/>
    <x v="1"/>
    <x v="1"/>
    <n v="0"/>
    <n v="111.9"/>
    <n v="55"/>
    <n v="19.02"/>
    <n v="223"/>
    <n v="124"/>
    <n v="18.96"/>
    <n v="243.2"/>
    <n v="81"/>
    <n v="10.94"/>
    <x v="13"/>
    <x v="2"/>
    <x v="13"/>
    <x v="3"/>
    <x v="0"/>
  </r>
  <r>
    <s v="NY"/>
    <x v="21"/>
    <s v="area_code_510"/>
    <x v="1"/>
    <x v="1"/>
    <n v="0"/>
    <n v="236.3"/>
    <n v="91"/>
    <n v="40.17"/>
    <n v="152.80000000000001"/>
    <n v="130"/>
    <n v="12.99"/>
    <n v="160.30000000000001"/>
    <n v="98"/>
    <n v="7.21"/>
    <x v="7"/>
    <x v="10"/>
    <x v="7"/>
    <x v="3"/>
    <x v="0"/>
  </r>
  <r>
    <s v="SD"/>
    <x v="26"/>
    <s v="area_code_408"/>
    <x v="0"/>
    <x v="1"/>
    <n v="0"/>
    <n v="163.6"/>
    <n v="88"/>
    <n v="27.81"/>
    <n v="283.39999999999998"/>
    <n v="93"/>
    <n v="24.09"/>
    <n v="262.10000000000002"/>
    <n v="108"/>
    <n v="11.79"/>
    <x v="53"/>
    <x v="6"/>
    <x v="53"/>
    <x v="1"/>
    <x v="0"/>
  </r>
  <r>
    <s v="AK"/>
    <x v="108"/>
    <s v="area_code_415"/>
    <x v="0"/>
    <x v="0"/>
    <n v="29"/>
    <n v="213.6"/>
    <n v="127"/>
    <n v="36.31"/>
    <n v="175.9"/>
    <n v="82"/>
    <n v="14.95"/>
    <n v="207.2"/>
    <n v="100"/>
    <n v="9.32"/>
    <x v="56"/>
    <x v="0"/>
    <x v="56"/>
    <x v="0"/>
    <x v="0"/>
  </r>
  <r>
    <s v="WV"/>
    <x v="58"/>
    <s v="area_code_510"/>
    <x v="0"/>
    <x v="0"/>
    <n v="30"/>
    <n v="143.4"/>
    <n v="72"/>
    <n v="24.38"/>
    <n v="170"/>
    <n v="92"/>
    <n v="14.45"/>
    <n v="127.9"/>
    <n v="68"/>
    <n v="5.76"/>
    <x v="27"/>
    <x v="4"/>
    <x v="27"/>
    <x v="3"/>
    <x v="0"/>
  </r>
  <r>
    <s v="VA"/>
    <x v="6"/>
    <s v="area_code_408"/>
    <x v="0"/>
    <x v="1"/>
    <n v="0"/>
    <n v="97.1"/>
    <n v="98"/>
    <n v="16.510000000000002"/>
    <n v="228"/>
    <n v="131"/>
    <n v="19.38"/>
    <n v="240"/>
    <n v="111"/>
    <n v="10.8"/>
    <x v="15"/>
    <x v="0"/>
    <x v="15"/>
    <x v="0"/>
    <x v="0"/>
  </r>
  <r>
    <s v="MS"/>
    <x v="90"/>
    <s v="area_code_415"/>
    <x v="0"/>
    <x v="1"/>
    <n v="0"/>
    <n v="94.1"/>
    <n v="93"/>
    <n v="16"/>
    <n v="147.6"/>
    <n v="80"/>
    <n v="12.55"/>
    <n v="213.5"/>
    <n v="85"/>
    <n v="9.61"/>
    <x v="3"/>
    <x v="5"/>
    <x v="3"/>
    <x v="1"/>
    <x v="0"/>
  </r>
  <r>
    <s v="SD"/>
    <x v="168"/>
    <s v="area_code_510"/>
    <x v="0"/>
    <x v="1"/>
    <n v="0"/>
    <n v="226.3"/>
    <n v="95"/>
    <n v="38.47"/>
    <n v="274.3"/>
    <n v="109"/>
    <n v="23.32"/>
    <n v="242.7"/>
    <n v="119"/>
    <n v="10.92"/>
    <x v="45"/>
    <x v="0"/>
    <x v="45"/>
    <x v="2"/>
    <x v="1"/>
  </r>
  <r>
    <s v="AL"/>
    <x v="177"/>
    <s v="area_code_415"/>
    <x v="0"/>
    <x v="0"/>
    <n v="27"/>
    <n v="190.3"/>
    <n v="93"/>
    <n v="32.35"/>
    <n v="249"/>
    <n v="127"/>
    <n v="21.17"/>
    <n v="215.7"/>
    <n v="82"/>
    <n v="9.7100000000000009"/>
    <x v="15"/>
    <x v="4"/>
    <x v="15"/>
    <x v="0"/>
    <x v="0"/>
  </r>
  <r>
    <s v="ME"/>
    <x v="126"/>
    <s v="area_code_415"/>
    <x v="0"/>
    <x v="1"/>
    <n v="0"/>
    <n v="185.4"/>
    <n v="114"/>
    <n v="31.52"/>
    <n v="191.4"/>
    <n v="119"/>
    <n v="16.27"/>
    <n v="144"/>
    <n v="78"/>
    <n v="6.48"/>
    <x v="13"/>
    <x v="12"/>
    <x v="13"/>
    <x v="2"/>
    <x v="0"/>
  </r>
  <r>
    <s v="GA"/>
    <x v="67"/>
    <s v="area_code_415"/>
    <x v="0"/>
    <x v="1"/>
    <n v="0"/>
    <n v="179.5"/>
    <n v="121"/>
    <n v="30.52"/>
    <n v="191.9"/>
    <n v="131"/>
    <n v="16.309999999999999"/>
    <n v="165.5"/>
    <n v="125"/>
    <n v="7.45"/>
    <x v="42"/>
    <x v="4"/>
    <x v="42"/>
    <x v="1"/>
    <x v="0"/>
  </r>
  <r>
    <s v="AZ"/>
    <x v="147"/>
    <s v="area_code_408"/>
    <x v="0"/>
    <x v="1"/>
    <n v="0"/>
    <n v="158"/>
    <n v="94"/>
    <n v="26.86"/>
    <n v="207.9"/>
    <n v="100"/>
    <n v="17.670000000000002"/>
    <n v="190.4"/>
    <n v="120"/>
    <n v="8.57"/>
    <x v="3"/>
    <x v="11"/>
    <x v="3"/>
    <x v="1"/>
    <x v="0"/>
  </r>
  <r>
    <s v="MA"/>
    <x v="67"/>
    <s v="area_code_415"/>
    <x v="0"/>
    <x v="1"/>
    <n v="0"/>
    <n v="173"/>
    <n v="131"/>
    <n v="29.41"/>
    <n v="190.4"/>
    <n v="108"/>
    <n v="16.18"/>
    <n v="290"/>
    <n v="66"/>
    <n v="13.05"/>
    <x v="91"/>
    <x v="5"/>
    <x v="91"/>
    <x v="1"/>
    <x v="0"/>
  </r>
  <r>
    <s v="AZ"/>
    <x v="0"/>
    <s v="area_code_415"/>
    <x v="0"/>
    <x v="0"/>
    <n v="32"/>
    <n v="134.19999999999999"/>
    <n v="101"/>
    <n v="22.81"/>
    <n v="211.9"/>
    <n v="145"/>
    <n v="18.010000000000002"/>
    <n v="167.6"/>
    <n v="138"/>
    <n v="7.54"/>
    <x v="45"/>
    <x v="1"/>
    <x v="45"/>
    <x v="0"/>
    <x v="0"/>
  </r>
  <r>
    <s v="IN"/>
    <x v="108"/>
    <s v="area_code_415"/>
    <x v="0"/>
    <x v="0"/>
    <n v="32"/>
    <n v="125.2"/>
    <n v="123"/>
    <n v="21.28"/>
    <n v="230.9"/>
    <n v="101"/>
    <n v="19.63"/>
    <n v="192"/>
    <n v="106"/>
    <n v="8.64"/>
    <x v="44"/>
    <x v="6"/>
    <x v="44"/>
    <x v="3"/>
    <x v="0"/>
  </r>
  <r>
    <s v="DE"/>
    <x v="85"/>
    <s v="area_code_415"/>
    <x v="0"/>
    <x v="1"/>
    <n v="0"/>
    <n v="195.9"/>
    <n v="111"/>
    <n v="33.299999999999997"/>
    <n v="227"/>
    <n v="108"/>
    <n v="19.3"/>
    <n v="313.2"/>
    <n v="113"/>
    <n v="14.09"/>
    <x v="32"/>
    <x v="8"/>
    <x v="32"/>
    <x v="2"/>
    <x v="0"/>
  </r>
  <r>
    <s v="WI"/>
    <x v="69"/>
    <s v="area_code_510"/>
    <x v="0"/>
    <x v="0"/>
    <n v="13"/>
    <n v="214.2"/>
    <n v="61"/>
    <n v="36.409999999999997"/>
    <n v="181.2"/>
    <n v="88"/>
    <n v="15.4"/>
    <n v="174"/>
    <n v="68"/>
    <n v="7.83"/>
    <x v="19"/>
    <x v="5"/>
    <x v="19"/>
    <x v="1"/>
    <x v="0"/>
  </r>
  <r>
    <s v="ME"/>
    <x v="20"/>
    <s v="area_code_415"/>
    <x v="0"/>
    <x v="1"/>
    <n v="0"/>
    <n v="221.1"/>
    <n v="101"/>
    <n v="37.590000000000003"/>
    <n v="236.7"/>
    <n v="65"/>
    <n v="20.12"/>
    <n v="252.3"/>
    <n v="137"/>
    <n v="11.35"/>
    <x v="17"/>
    <x v="8"/>
    <x v="17"/>
    <x v="1"/>
    <x v="0"/>
  </r>
  <r>
    <s v="DC"/>
    <x v="115"/>
    <s v="area_code_408"/>
    <x v="0"/>
    <x v="0"/>
    <n v="26"/>
    <n v="132"/>
    <n v="100"/>
    <n v="22.44"/>
    <n v="173.3"/>
    <n v="121"/>
    <n v="14.73"/>
    <n v="203.5"/>
    <n v="108"/>
    <n v="9.16"/>
    <x v="43"/>
    <x v="1"/>
    <x v="43"/>
    <x v="0"/>
    <x v="0"/>
  </r>
  <r>
    <s v="GA"/>
    <x v="15"/>
    <s v="area_code_408"/>
    <x v="0"/>
    <x v="1"/>
    <n v="0"/>
    <n v="157.6"/>
    <n v="92"/>
    <n v="26.79"/>
    <n v="198.3"/>
    <n v="87"/>
    <n v="16.86"/>
    <n v="364.9"/>
    <n v="106"/>
    <n v="16.420000000000002"/>
    <x v="9"/>
    <x v="4"/>
    <x v="9"/>
    <x v="0"/>
    <x v="0"/>
  </r>
  <r>
    <s v="HI"/>
    <x v="28"/>
    <s v="area_code_408"/>
    <x v="0"/>
    <x v="0"/>
    <n v="30"/>
    <n v="110.3"/>
    <n v="71"/>
    <n v="18.75"/>
    <n v="182.4"/>
    <n v="108"/>
    <n v="15.5"/>
    <n v="183.8"/>
    <n v="88"/>
    <n v="8.27"/>
    <x v="34"/>
    <x v="10"/>
    <x v="34"/>
    <x v="2"/>
    <x v="0"/>
  </r>
  <r>
    <s v="VA"/>
    <x v="83"/>
    <s v="area_code_415"/>
    <x v="1"/>
    <x v="1"/>
    <n v="0"/>
    <n v="161.5"/>
    <n v="121"/>
    <n v="27.46"/>
    <n v="192.9"/>
    <n v="137"/>
    <n v="16.399999999999999"/>
    <n v="168.3"/>
    <n v="96"/>
    <n v="7.57"/>
    <x v="7"/>
    <x v="15"/>
    <x v="7"/>
    <x v="1"/>
    <x v="0"/>
  </r>
  <r>
    <s v="NY"/>
    <x v="156"/>
    <s v="area_code_408"/>
    <x v="0"/>
    <x v="0"/>
    <n v="28"/>
    <n v="171.8"/>
    <n v="116"/>
    <n v="29.21"/>
    <n v="240.7"/>
    <n v="125"/>
    <n v="20.46"/>
    <n v="245.5"/>
    <n v="80"/>
    <n v="11.05"/>
    <x v="15"/>
    <x v="2"/>
    <x v="15"/>
    <x v="0"/>
    <x v="0"/>
  </r>
  <r>
    <s v="PA"/>
    <x v="131"/>
    <s v="area_code_510"/>
    <x v="0"/>
    <x v="0"/>
    <n v="32"/>
    <n v="211"/>
    <n v="99"/>
    <n v="35.869999999999997"/>
    <n v="155.1"/>
    <n v="89"/>
    <n v="13.18"/>
    <n v="234.8"/>
    <n v="96"/>
    <n v="10.57"/>
    <x v="37"/>
    <x v="1"/>
    <x v="37"/>
    <x v="0"/>
    <x v="0"/>
  </r>
  <r>
    <s v="AR"/>
    <x v="85"/>
    <s v="area_code_415"/>
    <x v="0"/>
    <x v="1"/>
    <n v="0"/>
    <n v="139.30000000000001"/>
    <n v="89"/>
    <n v="23.68"/>
    <n v="192.3"/>
    <n v="95"/>
    <n v="16.350000000000001"/>
    <n v="151"/>
    <n v="75"/>
    <n v="6.8"/>
    <x v="38"/>
    <x v="0"/>
    <x v="38"/>
    <x v="6"/>
    <x v="1"/>
  </r>
  <r>
    <s v="HI"/>
    <x v="65"/>
    <s v="area_code_415"/>
    <x v="0"/>
    <x v="1"/>
    <n v="0"/>
    <n v="291.60000000000002"/>
    <n v="99"/>
    <n v="49.57"/>
    <n v="221.1"/>
    <n v="93"/>
    <n v="18.79"/>
    <n v="229.2"/>
    <n v="110"/>
    <n v="10.31"/>
    <x v="100"/>
    <x v="6"/>
    <x v="100"/>
    <x v="2"/>
    <x v="1"/>
  </r>
  <r>
    <s v="DE"/>
    <x v="83"/>
    <s v="area_code_408"/>
    <x v="0"/>
    <x v="1"/>
    <n v="0"/>
    <n v="139"/>
    <n v="110"/>
    <n v="23.63"/>
    <n v="132.9"/>
    <n v="93"/>
    <n v="11.3"/>
    <n v="272"/>
    <n v="120"/>
    <n v="12.24"/>
    <x v="47"/>
    <x v="8"/>
    <x v="47"/>
    <x v="1"/>
    <x v="0"/>
  </r>
  <r>
    <s v="WV"/>
    <x v="147"/>
    <s v="area_code_408"/>
    <x v="0"/>
    <x v="1"/>
    <n v="0"/>
    <n v="234.8"/>
    <n v="125"/>
    <n v="39.92"/>
    <n v="199.2"/>
    <n v="99"/>
    <n v="16.93"/>
    <n v="163.19999999999999"/>
    <n v="88"/>
    <n v="7.34"/>
    <x v="13"/>
    <x v="8"/>
    <x v="13"/>
    <x v="4"/>
    <x v="0"/>
  </r>
  <r>
    <s v="OK"/>
    <x v="44"/>
    <s v="area_code_408"/>
    <x v="0"/>
    <x v="1"/>
    <n v="0"/>
    <n v="187.6"/>
    <n v="83"/>
    <n v="31.89"/>
    <n v="201.4"/>
    <n v="81"/>
    <n v="17.12"/>
    <n v="264.2"/>
    <n v="79"/>
    <n v="11.89"/>
    <x v="82"/>
    <x v="8"/>
    <x v="82"/>
    <x v="0"/>
    <x v="0"/>
  </r>
  <r>
    <s v="OR"/>
    <x v="48"/>
    <s v="area_code_415"/>
    <x v="0"/>
    <x v="1"/>
    <n v="0"/>
    <n v="159.80000000000001"/>
    <n v="143"/>
    <n v="27.17"/>
    <n v="210.1"/>
    <n v="93"/>
    <n v="17.86"/>
    <n v="175.1"/>
    <n v="86"/>
    <n v="7.88"/>
    <x v="67"/>
    <x v="2"/>
    <x v="67"/>
    <x v="2"/>
    <x v="0"/>
  </r>
  <r>
    <s v="ND"/>
    <x v="100"/>
    <s v="area_code_408"/>
    <x v="0"/>
    <x v="0"/>
    <n v="33"/>
    <n v="177.1"/>
    <n v="100"/>
    <n v="30.11"/>
    <n v="194"/>
    <n v="85"/>
    <n v="16.489999999999998"/>
    <n v="253.4"/>
    <n v="124"/>
    <n v="11.4"/>
    <x v="133"/>
    <x v="1"/>
    <x v="133"/>
    <x v="0"/>
    <x v="0"/>
  </r>
  <r>
    <s v="MO"/>
    <x v="82"/>
    <s v="area_code_408"/>
    <x v="0"/>
    <x v="1"/>
    <n v="0"/>
    <n v="117.9"/>
    <n v="101"/>
    <n v="20.04"/>
    <n v="160.4"/>
    <n v="92"/>
    <n v="13.63"/>
    <n v="235.3"/>
    <n v="150"/>
    <n v="10.59"/>
    <x v="37"/>
    <x v="11"/>
    <x v="37"/>
    <x v="1"/>
    <x v="0"/>
  </r>
  <r>
    <s v="AR"/>
    <x v="39"/>
    <s v="area_code_415"/>
    <x v="0"/>
    <x v="0"/>
    <n v="21"/>
    <n v="247.6"/>
    <n v="95"/>
    <n v="42.09"/>
    <n v="256.3"/>
    <n v="150"/>
    <n v="21.79"/>
    <n v="158.6"/>
    <n v="72"/>
    <n v="7.14"/>
    <x v="81"/>
    <x v="3"/>
    <x v="81"/>
    <x v="2"/>
    <x v="0"/>
  </r>
  <r>
    <s v="GA"/>
    <x v="28"/>
    <s v="area_code_408"/>
    <x v="0"/>
    <x v="1"/>
    <n v="0"/>
    <n v="169.9"/>
    <n v="77"/>
    <n v="28.88"/>
    <n v="138.30000000000001"/>
    <n v="155"/>
    <n v="11.76"/>
    <n v="142.6"/>
    <n v="105"/>
    <n v="6.42"/>
    <x v="31"/>
    <x v="2"/>
    <x v="31"/>
    <x v="0"/>
    <x v="0"/>
  </r>
  <r>
    <s v="TN"/>
    <x v="188"/>
    <s v="area_code_415"/>
    <x v="0"/>
    <x v="1"/>
    <n v="0"/>
    <n v="185"/>
    <n v="120"/>
    <n v="31.45"/>
    <n v="203.7"/>
    <n v="129"/>
    <n v="17.309999999999999"/>
    <n v="170.5"/>
    <n v="89"/>
    <n v="7.67"/>
    <x v="71"/>
    <x v="0"/>
    <x v="71"/>
    <x v="3"/>
    <x v="0"/>
  </r>
  <r>
    <s v="MA"/>
    <x v="16"/>
    <s v="area_code_408"/>
    <x v="0"/>
    <x v="0"/>
    <n v="17"/>
    <n v="204.9"/>
    <n v="84"/>
    <n v="34.83"/>
    <n v="201"/>
    <n v="102"/>
    <n v="17.09"/>
    <n v="219.7"/>
    <n v="97"/>
    <n v="9.89"/>
    <x v="61"/>
    <x v="1"/>
    <x v="61"/>
    <x v="1"/>
    <x v="0"/>
  </r>
  <r>
    <s v="ND"/>
    <x v="3"/>
    <s v="area_code_408"/>
    <x v="0"/>
    <x v="0"/>
    <n v="24"/>
    <n v="225.5"/>
    <n v="119"/>
    <n v="38.340000000000003"/>
    <n v="182"/>
    <n v="108"/>
    <n v="15.47"/>
    <n v="270.89999999999998"/>
    <n v="106"/>
    <n v="12.19"/>
    <x v="27"/>
    <x v="5"/>
    <x v="27"/>
    <x v="3"/>
    <x v="0"/>
  </r>
  <r>
    <s v="IA"/>
    <x v="46"/>
    <s v="area_code_510"/>
    <x v="0"/>
    <x v="1"/>
    <n v="0"/>
    <n v="169.7"/>
    <n v="115"/>
    <n v="28.85"/>
    <n v="141.4"/>
    <n v="123"/>
    <n v="12.02"/>
    <n v="253"/>
    <n v="115"/>
    <n v="11.39"/>
    <x v="26"/>
    <x v="0"/>
    <x v="26"/>
    <x v="4"/>
    <x v="1"/>
  </r>
  <r>
    <s v="NJ"/>
    <x v="65"/>
    <s v="area_code_415"/>
    <x v="0"/>
    <x v="1"/>
    <n v="0"/>
    <n v="239.3"/>
    <n v="102"/>
    <n v="40.68"/>
    <n v="223.4"/>
    <n v="127"/>
    <n v="18.989999999999998"/>
    <n v="251.4"/>
    <n v="104"/>
    <n v="11.31"/>
    <x v="15"/>
    <x v="3"/>
    <x v="15"/>
    <x v="1"/>
    <x v="0"/>
  </r>
  <r>
    <s v="MT"/>
    <x v="108"/>
    <s v="area_code_415"/>
    <x v="0"/>
    <x v="1"/>
    <n v="0"/>
    <n v="113.3"/>
    <n v="96"/>
    <n v="19.260000000000002"/>
    <n v="197.9"/>
    <n v="89"/>
    <n v="16.82"/>
    <n v="284.5"/>
    <n v="93"/>
    <n v="12.8"/>
    <x v="50"/>
    <x v="5"/>
    <x v="50"/>
    <x v="4"/>
    <x v="1"/>
  </r>
  <r>
    <s v="AL"/>
    <x v="128"/>
    <s v="area_code_415"/>
    <x v="0"/>
    <x v="1"/>
    <n v="0"/>
    <n v="161.9"/>
    <n v="100"/>
    <n v="27.52"/>
    <n v="230.1"/>
    <n v="138"/>
    <n v="19.559999999999999"/>
    <n v="148.80000000000001"/>
    <n v="78"/>
    <n v="6.7"/>
    <x v="39"/>
    <x v="12"/>
    <x v="39"/>
    <x v="3"/>
    <x v="0"/>
  </r>
  <r>
    <s v="NY"/>
    <x v="85"/>
    <s v="area_code_510"/>
    <x v="0"/>
    <x v="0"/>
    <n v="16"/>
    <n v="133.30000000000001"/>
    <n v="110"/>
    <n v="22.66"/>
    <n v="185.7"/>
    <n v="111"/>
    <n v="15.78"/>
    <n v="161.5"/>
    <n v="113"/>
    <n v="7.27"/>
    <x v="113"/>
    <x v="4"/>
    <x v="113"/>
    <x v="2"/>
    <x v="0"/>
  </r>
  <r>
    <s v="PA"/>
    <x v="65"/>
    <s v="area_code_510"/>
    <x v="0"/>
    <x v="0"/>
    <n v="25"/>
    <n v="170.7"/>
    <n v="88"/>
    <n v="29.02"/>
    <n v="109.9"/>
    <n v="113"/>
    <n v="9.34"/>
    <n v="165.7"/>
    <n v="99"/>
    <n v="7.46"/>
    <x v="6"/>
    <x v="8"/>
    <x v="6"/>
    <x v="3"/>
    <x v="0"/>
  </r>
  <r>
    <s v="NC"/>
    <x v="12"/>
    <s v="area_code_415"/>
    <x v="0"/>
    <x v="1"/>
    <n v="0"/>
    <n v="322.3"/>
    <n v="100"/>
    <n v="54.79"/>
    <n v="230.4"/>
    <n v="135"/>
    <n v="19.579999999999998"/>
    <n v="241.5"/>
    <n v="104"/>
    <n v="10.87"/>
    <x v="35"/>
    <x v="1"/>
    <x v="35"/>
    <x v="2"/>
    <x v="1"/>
  </r>
  <r>
    <s v="CT"/>
    <x v="5"/>
    <s v="area_code_415"/>
    <x v="0"/>
    <x v="1"/>
    <n v="0"/>
    <n v="124.4"/>
    <n v="74"/>
    <n v="21.15"/>
    <n v="320.89999999999998"/>
    <n v="78"/>
    <n v="27.28"/>
    <n v="157.19999999999999"/>
    <n v="126"/>
    <n v="7.07"/>
    <x v="91"/>
    <x v="4"/>
    <x v="91"/>
    <x v="2"/>
    <x v="0"/>
  </r>
  <r>
    <s v="MO"/>
    <x v="0"/>
    <s v="area_code_415"/>
    <x v="0"/>
    <x v="1"/>
    <n v="0"/>
    <n v="146.9"/>
    <n v="94"/>
    <n v="24.97"/>
    <n v="114.3"/>
    <n v="111"/>
    <n v="9.7200000000000006"/>
    <n v="114.5"/>
    <n v="97"/>
    <n v="5.15"/>
    <x v="37"/>
    <x v="1"/>
    <x v="37"/>
    <x v="3"/>
    <x v="0"/>
  </r>
  <r>
    <s v="WV"/>
    <x v="64"/>
    <s v="area_code_510"/>
    <x v="0"/>
    <x v="1"/>
    <n v="0"/>
    <n v="192.6"/>
    <n v="123"/>
    <n v="32.74"/>
    <n v="206.4"/>
    <n v="105"/>
    <n v="17.54"/>
    <n v="283.2"/>
    <n v="93"/>
    <n v="12.74"/>
    <x v="81"/>
    <x v="0"/>
    <x v="81"/>
    <x v="0"/>
    <x v="0"/>
  </r>
  <r>
    <s v="NJ"/>
    <x v="0"/>
    <s v="area_code_408"/>
    <x v="0"/>
    <x v="0"/>
    <n v="36"/>
    <n v="96.3"/>
    <n v="83"/>
    <n v="16.37"/>
    <n v="179.6"/>
    <n v="91"/>
    <n v="15.27"/>
    <n v="166.3"/>
    <n v="121"/>
    <n v="7.48"/>
    <x v="19"/>
    <x v="5"/>
    <x v="19"/>
    <x v="0"/>
    <x v="0"/>
  </r>
  <r>
    <s v="AK"/>
    <x v="142"/>
    <s v="area_code_510"/>
    <x v="0"/>
    <x v="1"/>
    <n v="0"/>
    <n v="131.9"/>
    <n v="96"/>
    <n v="22.42"/>
    <n v="167.6"/>
    <n v="107"/>
    <n v="14.25"/>
    <n v="205.9"/>
    <n v="106"/>
    <n v="9.27"/>
    <x v="20"/>
    <x v="1"/>
    <x v="20"/>
    <x v="3"/>
    <x v="0"/>
  </r>
  <r>
    <s v="LA"/>
    <x v="75"/>
    <s v="area_code_408"/>
    <x v="0"/>
    <x v="1"/>
    <n v="0"/>
    <n v="147.19999999999999"/>
    <n v="121"/>
    <n v="25.02"/>
    <n v="175.2"/>
    <n v="87"/>
    <n v="14.89"/>
    <n v="136.30000000000001"/>
    <n v="80"/>
    <n v="6.13"/>
    <x v="64"/>
    <x v="0"/>
    <x v="64"/>
    <x v="2"/>
    <x v="0"/>
  </r>
  <r>
    <s v="AL"/>
    <x v="163"/>
    <s v="area_code_415"/>
    <x v="0"/>
    <x v="1"/>
    <n v="0"/>
    <n v="143.1"/>
    <n v="139"/>
    <n v="24.33"/>
    <n v="239.6"/>
    <n v="88"/>
    <n v="20.37"/>
    <n v="221.7"/>
    <n v="123"/>
    <n v="9.98"/>
    <x v="5"/>
    <x v="1"/>
    <x v="5"/>
    <x v="2"/>
    <x v="0"/>
  </r>
  <r>
    <s v="IN"/>
    <x v="130"/>
    <s v="area_code_408"/>
    <x v="0"/>
    <x v="1"/>
    <n v="0"/>
    <n v="280.39999999999998"/>
    <n v="127"/>
    <n v="47.67"/>
    <n v="179.4"/>
    <n v="79"/>
    <n v="15.25"/>
    <n v="150.6"/>
    <n v="77"/>
    <n v="6.78"/>
    <x v="126"/>
    <x v="3"/>
    <x v="126"/>
    <x v="5"/>
    <x v="0"/>
  </r>
  <r>
    <s v="MA"/>
    <x v="67"/>
    <s v="area_code_415"/>
    <x v="0"/>
    <x v="0"/>
    <n v="31"/>
    <n v="237.2"/>
    <n v="85"/>
    <n v="40.32"/>
    <n v="213.1"/>
    <n v="100"/>
    <n v="18.11"/>
    <n v="192.7"/>
    <n v="87"/>
    <n v="8.67"/>
    <x v="85"/>
    <x v="4"/>
    <x v="85"/>
    <x v="0"/>
    <x v="0"/>
  </r>
  <r>
    <s v="DE"/>
    <x v="11"/>
    <s v="area_code_510"/>
    <x v="0"/>
    <x v="1"/>
    <n v="0"/>
    <n v="184.2"/>
    <n v="95"/>
    <n v="31.31"/>
    <n v="181.6"/>
    <n v="101"/>
    <n v="15.44"/>
    <n v="143.4"/>
    <n v="113"/>
    <n v="6.45"/>
    <x v="75"/>
    <x v="4"/>
    <x v="75"/>
    <x v="2"/>
    <x v="0"/>
  </r>
  <r>
    <s v="SC"/>
    <x v="130"/>
    <s v="area_code_415"/>
    <x v="0"/>
    <x v="1"/>
    <n v="0"/>
    <n v="109.1"/>
    <n v="141"/>
    <n v="18.55"/>
    <n v="187.1"/>
    <n v="140"/>
    <n v="15.9"/>
    <n v="216.6"/>
    <n v="100"/>
    <n v="9.75"/>
    <x v="13"/>
    <x v="4"/>
    <x v="13"/>
    <x v="3"/>
    <x v="0"/>
  </r>
  <r>
    <s v="NH"/>
    <x v="104"/>
    <s v="area_code_408"/>
    <x v="0"/>
    <x v="1"/>
    <n v="0"/>
    <n v="138.1"/>
    <n v="115"/>
    <n v="23.48"/>
    <n v="158.19999999999999"/>
    <n v="82"/>
    <n v="13.45"/>
    <n v="215.7"/>
    <n v="118"/>
    <n v="9.7100000000000009"/>
    <x v="19"/>
    <x v="5"/>
    <x v="19"/>
    <x v="5"/>
    <x v="1"/>
  </r>
  <r>
    <s v="MS"/>
    <x v="118"/>
    <s v="area_code_510"/>
    <x v="0"/>
    <x v="1"/>
    <n v="0"/>
    <n v="155.4"/>
    <n v="112"/>
    <n v="26.42"/>
    <n v="290.89999999999998"/>
    <n v="92"/>
    <n v="24.73"/>
    <n v="228.4"/>
    <n v="91"/>
    <n v="10.28"/>
    <x v="55"/>
    <x v="1"/>
    <x v="55"/>
    <x v="0"/>
    <x v="0"/>
  </r>
  <r>
    <s v="NM"/>
    <x v="86"/>
    <s v="area_code_415"/>
    <x v="0"/>
    <x v="1"/>
    <n v="0"/>
    <n v="245.3"/>
    <n v="91"/>
    <n v="41.7"/>
    <n v="122.9"/>
    <n v="130"/>
    <n v="10.45"/>
    <n v="228.4"/>
    <n v="102"/>
    <n v="10.28"/>
    <x v="31"/>
    <x v="4"/>
    <x v="31"/>
    <x v="4"/>
    <x v="0"/>
  </r>
  <r>
    <s v="WA"/>
    <x v="37"/>
    <s v="area_code_415"/>
    <x v="1"/>
    <x v="1"/>
    <n v="0"/>
    <n v="205.9"/>
    <n v="97"/>
    <n v="35"/>
    <n v="277.39999999999998"/>
    <n v="117"/>
    <n v="23.58"/>
    <n v="202"/>
    <n v="139"/>
    <n v="9.09"/>
    <x v="34"/>
    <x v="5"/>
    <x v="34"/>
    <x v="1"/>
    <x v="1"/>
  </r>
  <r>
    <s v="ME"/>
    <x v="80"/>
    <s v="area_code_408"/>
    <x v="0"/>
    <x v="1"/>
    <n v="0"/>
    <n v="221.9"/>
    <n v="112"/>
    <n v="37.72"/>
    <n v="278.2"/>
    <n v="122"/>
    <n v="23.65"/>
    <n v="288.10000000000002"/>
    <n v="85"/>
    <n v="12.96"/>
    <x v="5"/>
    <x v="1"/>
    <x v="5"/>
    <x v="1"/>
    <x v="1"/>
  </r>
  <r>
    <s v="NM"/>
    <x v="200"/>
    <s v="area_code_415"/>
    <x v="0"/>
    <x v="1"/>
    <n v="0"/>
    <n v="190"/>
    <n v="100"/>
    <n v="32.299999999999997"/>
    <n v="246.6"/>
    <n v="78"/>
    <n v="20.96"/>
    <n v="304.2"/>
    <n v="107"/>
    <n v="13.69"/>
    <x v="17"/>
    <x v="4"/>
    <x v="17"/>
    <x v="0"/>
    <x v="0"/>
  </r>
  <r>
    <s v="AZ"/>
    <x v="60"/>
    <s v="area_code_415"/>
    <x v="0"/>
    <x v="1"/>
    <n v="0"/>
    <n v="220.8"/>
    <n v="111"/>
    <n v="37.54"/>
    <n v="156.19999999999999"/>
    <n v="67"/>
    <n v="13.28"/>
    <n v="187.9"/>
    <n v="89"/>
    <n v="8.4600000000000009"/>
    <x v="26"/>
    <x v="4"/>
    <x v="26"/>
    <x v="2"/>
    <x v="0"/>
  </r>
  <r>
    <s v="CT"/>
    <x v="15"/>
    <s v="area_code_415"/>
    <x v="0"/>
    <x v="0"/>
    <n v="47"/>
    <n v="173.7"/>
    <n v="117"/>
    <n v="29.53"/>
    <n v="204"/>
    <n v="114"/>
    <n v="17.34"/>
    <n v="174.6"/>
    <n v="94"/>
    <n v="7.86"/>
    <x v="21"/>
    <x v="0"/>
    <x v="21"/>
    <x v="2"/>
    <x v="0"/>
  </r>
  <r>
    <s v="IL"/>
    <x v="106"/>
    <s v="area_code_408"/>
    <x v="0"/>
    <x v="1"/>
    <n v="0"/>
    <n v="114.8"/>
    <n v="94"/>
    <n v="19.52"/>
    <n v="150"/>
    <n v="104"/>
    <n v="12.75"/>
    <n v="268.60000000000002"/>
    <n v="119"/>
    <n v="12.09"/>
    <x v="63"/>
    <x v="4"/>
    <x v="63"/>
    <x v="2"/>
    <x v="0"/>
  </r>
  <r>
    <s v="IN"/>
    <x v="32"/>
    <s v="area_code_408"/>
    <x v="0"/>
    <x v="1"/>
    <n v="0"/>
    <n v="113.8"/>
    <n v="97"/>
    <n v="19.350000000000001"/>
    <n v="192.3"/>
    <n v="97"/>
    <n v="16.350000000000001"/>
    <n v="214.9"/>
    <n v="89"/>
    <n v="9.67"/>
    <x v="91"/>
    <x v="8"/>
    <x v="91"/>
    <x v="3"/>
    <x v="0"/>
  </r>
  <r>
    <s v="AR"/>
    <x v="76"/>
    <s v="area_code_415"/>
    <x v="1"/>
    <x v="1"/>
    <n v="0"/>
    <n v="143.19999999999999"/>
    <n v="60"/>
    <n v="24.34"/>
    <n v="179.5"/>
    <n v="159"/>
    <n v="15.26"/>
    <n v="171.8"/>
    <n v="122"/>
    <n v="7.73"/>
    <x v="46"/>
    <x v="4"/>
    <x v="46"/>
    <x v="4"/>
    <x v="1"/>
  </r>
  <r>
    <s v="RI"/>
    <x v="111"/>
    <s v="area_code_415"/>
    <x v="0"/>
    <x v="1"/>
    <n v="0"/>
    <n v="184.4"/>
    <n v="111"/>
    <n v="31.35"/>
    <n v="203.8"/>
    <n v="110"/>
    <n v="17.32"/>
    <n v="237.4"/>
    <n v="100"/>
    <n v="10.68"/>
    <x v="38"/>
    <x v="1"/>
    <x v="38"/>
    <x v="3"/>
    <x v="0"/>
  </r>
  <r>
    <s v="NH"/>
    <x v="106"/>
    <s v="area_code_408"/>
    <x v="0"/>
    <x v="1"/>
    <n v="0"/>
    <n v="224"/>
    <n v="99"/>
    <n v="38.08"/>
    <n v="210.7"/>
    <n v="80"/>
    <n v="17.91"/>
    <n v="231.9"/>
    <n v="75"/>
    <n v="10.44"/>
    <x v="156"/>
    <x v="1"/>
    <x v="156"/>
    <x v="1"/>
    <x v="0"/>
  </r>
  <r>
    <s v="NV"/>
    <x v="88"/>
    <s v="area_code_510"/>
    <x v="0"/>
    <x v="1"/>
    <n v="0"/>
    <n v="216.2"/>
    <n v="95"/>
    <n v="36.75"/>
    <n v="185.7"/>
    <n v="105"/>
    <n v="15.78"/>
    <n v="300"/>
    <n v="143"/>
    <n v="13.5"/>
    <x v="13"/>
    <x v="1"/>
    <x v="13"/>
    <x v="2"/>
    <x v="0"/>
  </r>
  <r>
    <s v="UT"/>
    <x v="40"/>
    <s v="area_code_415"/>
    <x v="0"/>
    <x v="1"/>
    <n v="0"/>
    <n v="129.9"/>
    <n v="121"/>
    <n v="22.08"/>
    <n v="230.1"/>
    <n v="105"/>
    <n v="19.559999999999999"/>
    <n v="140.5"/>
    <n v="123"/>
    <n v="6.32"/>
    <x v="64"/>
    <x v="0"/>
    <x v="64"/>
    <x v="1"/>
    <x v="0"/>
  </r>
  <r>
    <s v="MI"/>
    <x v="36"/>
    <s v="area_code_415"/>
    <x v="0"/>
    <x v="1"/>
    <n v="0"/>
    <n v="204.4"/>
    <n v="97"/>
    <n v="34.75"/>
    <n v="273.2"/>
    <n v="128"/>
    <n v="23.22"/>
    <n v="179.6"/>
    <n v="118"/>
    <n v="8.08"/>
    <x v="34"/>
    <x v="1"/>
    <x v="34"/>
    <x v="0"/>
    <x v="0"/>
  </r>
  <r>
    <s v="WI"/>
    <x v="75"/>
    <s v="area_code_408"/>
    <x v="0"/>
    <x v="0"/>
    <n v="44"/>
    <n v="216.6"/>
    <n v="101"/>
    <n v="36.82"/>
    <n v="173.1"/>
    <n v="98"/>
    <n v="14.71"/>
    <n v="242.1"/>
    <n v="95"/>
    <n v="10.89"/>
    <x v="9"/>
    <x v="0"/>
    <x v="9"/>
    <x v="0"/>
    <x v="0"/>
  </r>
  <r>
    <s v="NH"/>
    <x v="153"/>
    <s v="area_code_510"/>
    <x v="0"/>
    <x v="1"/>
    <n v="0"/>
    <n v="228.1"/>
    <n v="93"/>
    <n v="38.78"/>
    <n v="136.4"/>
    <n v="106"/>
    <n v="11.59"/>
    <n v="197.3"/>
    <n v="107"/>
    <n v="8.8800000000000008"/>
    <x v="62"/>
    <x v="5"/>
    <x v="62"/>
    <x v="0"/>
    <x v="0"/>
  </r>
  <r>
    <s v="TX"/>
    <x v="197"/>
    <s v="area_code_415"/>
    <x v="0"/>
    <x v="1"/>
    <n v="0"/>
    <n v="225.9"/>
    <n v="110"/>
    <n v="38.4"/>
    <n v="299.10000000000002"/>
    <n v="86"/>
    <n v="25.42"/>
    <n v="251.3"/>
    <n v="81"/>
    <n v="11.31"/>
    <x v="7"/>
    <x v="4"/>
    <x v="7"/>
    <x v="0"/>
    <x v="1"/>
  </r>
  <r>
    <s v="ID"/>
    <x v="26"/>
    <s v="area_code_415"/>
    <x v="0"/>
    <x v="1"/>
    <n v="0"/>
    <n v="103.5"/>
    <n v="115"/>
    <n v="17.600000000000001"/>
    <n v="117.9"/>
    <n v="102"/>
    <n v="10.02"/>
    <n v="201"/>
    <n v="94"/>
    <n v="9.0500000000000007"/>
    <x v="42"/>
    <x v="0"/>
    <x v="42"/>
    <x v="4"/>
    <x v="1"/>
  </r>
  <r>
    <s v="CT"/>
    <x v="93"/>
    <s v="area_code_415"/>
    <x v="0"/>
    <x v="1"/>
    <n v="0"/>
    <n v="115.5"/>
    <n v="70"/>
    <n v="19.64"/>
    <n v="252.2"/>
    <n v="143"/>
    <n v="21.44"/>
    <n v="208.9"/>
    <n v="91"/>
    <n v="9.4"/>
    <x v="4"/>
    <x v="3"/>
    <x v="4"/>
    <x v="1"/>
    <x v="0"/>
  </r>
  <r>
    <s v="NH"/>
    <x v="108"/>
    <s v="area_code_408"/>
    <x v="0"/>
    <x v="1"/>
    <n v="0"/>
    <n v="218.8"/>
    <n v="125"/>
    <n v="37.200000000000003"/>
    <n v="148.30000000000001"/>
    <n v="102"/>
    <n v="12.61"/>
    <n v="277.8"/>
    <n v="97"/>
    <n v="12.5"/>
    <x v="84"/>
    <x v="3"/>
    <x v="84"/>
    <x v="0"/>
    <x v="0"/>
  </r>
  <r>
    <s v="WY"/>
    <x v="70"/>
    <s v="area_code_510"/>
    <x v="0"/>
    <x v="1"/>
    <n v="0"/>
    <n v="223.8"/>
    <n v="67"/>
    <n v="38.049999999999997"/>
    <n v="244.8"/>
    <n v="74"/>
    <n v="20.81"/>
    <n v="223.8"/>
    <n v="156"/>
    <n v="10.07"/>
    <x v="10"/>
    <x v="1"/>
    <x v="10"/>
    <x v="3"/>
    <x v="0"/>
  </r>
  <r>
    <s v="OR"/>
    <x v="139"/>
    <s v="area_code_415"/>
    <x v="0"/>
    <x v="1"/>
    <n v="0"/>
    <n v="143.80000000000001"/>
    <n v="71"/>
    <n v="24.45"/>
    <n v="184"/>
    <n v="131"/>
    <n v="15.64"/>
    <n v="275.5"/>
    <n v="132"/>
    <n v="12.4"/>
    <x v="89"/>
    <x v="4"/>
    <x v="89"/>
    <x v="3"/>
    <x v="0"/>
  </r>
  <r>
    <s v="SC"/>
    <x v="25"/>
    <s v="area_code_408"/>
    <x v="0"/>
    <x v="0"/>
    <n v="43"/>
    <n v="29.9"/>
    <n v="123"/>
    <n v="5.08"/>
    <n v="129.1"/>
    <n v="117"/>
    <n v="10.97"/>
    <n v="325.89999999999998"/>
    <n v="105"/>
    <n v="14.67"/>
    <x v="53"/>
    <x v="3"/>
    <x v="53"/>
    <x v="2"/>
    <x v="0"/>
  </r>
  <r>
    <s v="MD"/>
    <x v="97"/>
    <s v="area_code_510"/>
    <x v="0"/>
    <x v="0"/>
    <n v="28"/>
    <n v="276.7"/>
    <n v="121"/>
    <n v="47.04"/>
    <n v="203.7"/>
    <n v="99"/>
    <n v="17.309999999999999"/>
    <n v="246.2"/>
    <n v="88"/>
    <n v="11.08"/>
    <x v="24"/>
    <x v="0"/>
    <x v="24"/>
    <x v="1"/>
    <x v="0"/>
  </r>
  <r>
    <s v="NM"/>
    <x v="2"/>
    <s v="area_code_408"/>
    <x v="0"/>
    <x v="0"/>
    <n v="41"/>
    <n v="153.9"/>
    <n v="102"/>
    <n v="26.16"/>
    <n v="140.69999999999999"/>
    <n v="117"/>
    <n v="11.96"/>
    <n v="217.7"/>
    <n v="101"/>
    <n v="9.8000000000000007"/>
    <x v="75"/>
    <x v="1"/>
    <x v="75"/>
    <x v="0"/>
    <x v="0"/>
  </r>
  <r>
    <s v="LA"/>
    <x v="75"/>
    <s v="area_code_415"/>
    <x v="0"/>
    <x v="1"/>
    <n v="0"/>
    <n v="190.5"/>
    <n v="128"/>
    <n v="32.39"/>
    <n v="205.5"/>
    <n v="103"/>
    <n v="17.47"/>
    <n v="130.69999999999999"/>
    <n v="63"/>
    <n v="5.88"/>
    <x v="12"/>
    <x v="1"/>
    <x v="12"/>
    <x v="1"/>
    <x v="0"/>
  </r>
  <r>
    <s v="UT"/>
    <x v="77"/>
    <s v="area_code_408"/>
    <x v="0"/>
    <x v="1"/>
    <n v="0"/>
    <n v="192.6"/>
    <n v="102"/>
    <n v="32.74"/>
    <n v="178.9"/>
    <n v="118"/>
    <n v="15.21"/>
    <n v="214.6"/>
    <n v="74"/>
    <n v="9.66"/>
    <x v="27"/>
    <x v="4"/>
    <x v="27"/>
    <x v="0"/>
    <x v="0"/>
  </r>
  <r>
    <s v="DE"/>
    <x v="4"/>
    <s v="area_code_408"/>
    <x v="0"/>
    <x v="1"/>
    <n v="0"/>
    <n v="215.6"/>
    <n v="74"/>
    <n v="36.65"/>
    <n v="192.9"/>
    <n v="98"/>
    <n v="16.399999999999999"/>
    <n v="144"/>
    <n v="103"/>
    <n v="6.48"/>
    <x v="3"/>
    <x v="4"/>
    <x v="3"/>
    <x v="5"/>
    <x v="0"/>
  </r>
  <r>
    <s v="WV"/>
    <x v="143"/>
    <s v="area_code_415"/>
    <x v="0"/>
    <x v="1"/>
    <n v="0"/>
    <n v="180"/>
    <n v="100"/>
    <n v="30.6"/>
    <n v="229"/>
    <n v="103"/>
    <n v="19.47"/>
    <n v="139.4"/>
    <n v="105"/>
    <n v="6.27"/>
    <x v="35"/>
    <x v="10"/>
    <x v="35"/>
    <x v="3"/>
    <x v="0"/>
  </r>
  <r>
    <s v="KY"/>
    <x v="11"/>
    <s v="area_code_510"/>
    <x v="0"/>
    <x v="1"/>
    <n v="0"/>
    <n v="157.30000000000001"/>
    <n v="116"/>
    <n v="26.74"/>
    <n v="197.5"/>
    <n v="77"/>
    <n v="16.79"/>
    <n v="128.19999999999999"/>
    <n v="111"/>
    <n v="5.77"/>
    <x v="80"/>
    <x v="4"/>
    <x v="80"/>
    <x v="2"/>
    <x v="0"/>
  </r>
  <r>
    <s v="NC"/>
    <x v="145"/>
    <s v="area_code_415"/>
    <x v="0"/>
    <x v="1"/>
    <n v="0"/>
    <n v="196.5"/>
    <n v="88"/>
    <n v="33.409999999999997"/>
    <n v="158.6"/>
    <n v="129"/>
    <n v="13.48"/>
    <n v="269.3"/>
    <n v="118"/>
    <n v="12.12"/>
    <x v="36"/>
    <x v="0"/>
    <x v="36"/>
    <x v="1"/>
    <x v="0"/>
  </r>
  <r>
    <s v="WV"/>
    <x v="15"/>
    <s v="area_code_415"/>
    <x v="0"/>
    <x v="1"/>
    <n v="0"/>
    <n v="240.3"/>
    <n v="130"/>
    <n v="40.85"/>
    <n v="162.5"/>
    <n v="83"/>
    <n v="13.81"/>
    <n v="231.9"/>
    <n v="136"/>
    <n v="10.44"/>
    <x v="78"/>
    <x v="0"/>
    <x v="78"/>
    <x v="1"/>
    <x v="0"/>
  </r>
  <r>
    <s v="AZ"/>
    <x v="65"/>
    <s v="area_code_415"/>
    <x v="0"/>
    <x v="1"/>
    <n v="0"/>
    <n v="193.3"/>
    <n v="126"/>
    <n v="32.86"/>
    <n v="154.69999999999999"/>
    <n v="85"/>
    <n v="13.15"/>
    <n v="174.8"/>
    <n v="98"/>
    <n v="7.87"/>
    <x v="27"/>
    <x v="3"/>
    <x v="27"/>
    <x v="3"/>
    <x v="0"/>
  </r>
  <r>
    <s v="WV"/>
    <x v="142"/>
    <s v="area_code_408"/>
    <x v="0"/>
    <x v="0"/>
    <n v="39"/>
    <n v="211.9"/>
    <n v="40"/>
    <n v="36.020000000000003"/>
    <n v="274.39999999999998"/>
    <n v="76"/>
    <n v="23.32"/>
    <n v="210.5"/>
    <n v="139"/>
    <n v="9.4700000000000006"/>
    <x v="11"/>
    <x v="4"/>
    <x v="11"/>
    <x v="0"/>
    <x v="0"/>
  </r>
  <r>
    <s v="WA"/>
    <x v="14"/>
    <s v="area_code_510"/>
    <x v="1"/>
    <x v="1"/>
    <n v="0"/>
    <n v="246.8"/>
    <n v="110"/>
    <n v="41.96"/>
    <n v="206.3"/>
    <n v="63"/>
    <n v="17.54"/>
    <n v="208.4"/>
    <n v="123"/>
    <n v="9.3800000000000008"/>
    <x v="32"/>
    <x v="1"/>
    <x v="32"/>
    <x v="1"/>
    <x v="1"/>
  </r>
  <r>
    <s v="ID"/>
    <x v="78"/>
    <s v="area_code_415"/>
    <x v="0"/>
    <x v="1"/>
    <n v="0"/>
    <n v="174.7"/>
    <n v="151"/>
    <n v="29.7"/>
    <n v="148"/>
    <n v="56"/>
    <n v="12.58"/>
    <n v="168.2"/>
    <n v="109"/>
    <n v="7.57"/>
    <x v="74"/>
    <x v="0"/>
    <x v="74"/>
    <x v="8"/>
    <x v="1"/>
  </r>
  <r>
    <s v="CT"/>
    <x v="137"/>
    <s v="area_code_415"/>
    <x v="0"/>
    <x v="1"/>
    <n v="0"/>
    <n v="240"/>
    <n v="83"/>
    <n v="40.799999999999997"/>
    <n v="134.1"/>
    <n v="106"/>
    <n v="11.4"/>
    <n v="189.1"/>
    <n v="84"/>
    <n v="8.51"/>
    <x v="38"/>
    <x v="5"/>
    <x v="38"/>
    <x v="1"/>
    <x v="1"/>
  </r>
  <r>
    <s v="OK"/>
    <x v="104"/>
    <s v="area_code_510"/>
    <x v="0"/>
    <x v="0"/>
    <n v="37"/>
    <n v="181.2"/>
    <n v="76"/>
    <n v="30.8"/>
    <n v="177.6"/>
    <n v="98"/>
    <n v="15.1"/>
    <n v="228"/>
    <n v="136"/>
    <n v="10.26"/>
    <x v="105"/>
    <x v="0"/>
    <x v="105"/>
    <x v="2"/>
    <x v="0"/>
  </r>
  <r>
    <s v="IA"/>
    <x v="105"/>
    <s v="area_code_415"/>
    <x v="0"/>
    <x v="1"/>
    <n v="0"/>
    <n v="113.7"/>
    <n v="67"/>
    <n v="19.329999999999998"/>
    <n v="165.1"/>
    <n v="127"/>
    <n v="14.03"/>
    <n v="141.5"/>
    <n v="142"/>
    <n v="6.37"/>
    <x v="81"/>
    <x v="0"/>
    <x v="81"/>
    <x v="0"/>
    <x v="0"/>
  </r>
  <r>
    <s v="ID"/>
    <x v="16"/>
    <s v="area_code_510"/>
    <x v="0"/>
    <x v="0"/>
    <n v="29"/>
    <n v="211.1"/>
    <n v="89"/>
    <n v="35.89"/>
    <n v="223.5"/>
    <n v="97"/>
    <n v="19"/>
    <n v="148.4"/>
    <n v="106"/>
    <n v="6.68"/>
    <x v="84"/>
    <x v="6"/>
    <x v="84"/>
    <x v="2"/>
    <x v="0"/>
  </r>
  <r>
    <s v="SD"/>
    <x v="150"/>
    <s v="area_code_415"/>
    <x v="0"/>
    <x v="1"/>
    <n v="0"/>
    <n v="247.4"/>
    <n v="107"/>
    <n v="42.06"/>
    <n v="175.9"/>
    <n v="76"/>
    <n v="14.95"/>
    <n v="287.39999999999998"/>
    <n v="90"/>
    <n v="12.93"/>
    <x v="61"/>
    <x v="5"/>
    <x v="61"/>
    <x v="1"/>
    <x v="0"/>
  </r>
  <r>
    <s v="DE"/>
    <x v="101"/>
    <s v="area_code_415"/>
    <x v="0"/>
    <x v="0"/>
    <n v="32"/>
    <n v="131.19999999999999"/>
    <n v="63"/>
    <n v="22.3"/>
    <n v="227.4"/>
    <n v="125"/>
    <n v="19.329999999999998"/>
    <n v="178.9"/>
    <n v="105"/>
    <n v="8.0500000000000007"/>
    <x v="75"/>
    <x v="5"/>
    <x v="75"/>
    <x v="2"/>
    <x v="0"/>
  </r>
  <r>
    <s v="WA"/>
    <x v="153"/>
    <s v="area_code_510"/>
    <x v="0"/>
    <x v="1"/>
    <n v="0"/>
    <n v="161.4"/>
    <n v="84"/>
    <n v="27.44"/>
    <n v="163.6"/>
    <n v="88"/>
    <n v="13.91"/>
    <n v="153.19999999999999"/>
    <n v="121"/>
    <n v="6.89"/>
    <x v="23"/>
    <x v="1"/>
    <x v="23"/>
    <x v="0"/>
    <x v="0"/>
  </r>
  <r>
    <s v="MN"/>
    <x v="33"/>
    <s v="area_code_408"/>
    <x v="0"/>
    <x v="0"/>
    <n v="32"/>
    <n v="211.9"/>
    <n v="120"/>
    <n v="36.020000000000003"/>
    <n v="202.9"/>
    <n v="136"/>
    <n v="17.25"/>
    <n v="213.5"/>
    <n v="95"/>
    <n v="9.61"/>
    <x v="82"/>
    <x v="1"/>
    <x v="82"/>
    <x v="0"/>
    <x v="0"/>
  </r>
  <r>
    <s v="WA"/>
    <x v="118"/>
    <s v="area_code_510"/>
    <x v="0"/>
    <x v="1"/>
    <n v="0"/>
    <n v="160.4"/>
    <n v="120"/>
    <n v="27.27"/>
    <n v="285.89999999999998"/>
    <n v="104"/>
    <n v="24.3"/>
    <n v="182.5"/>
    <n v="85"/>
    <n v="8.2100000000000009"/>
    <x v="72"/>
    <x v="4"/>
    <x v="72"/>
    <x v="3"/>
    <x v="0"/>
  </r>
  <r>
    <s v="PA"/>
    <x v="34"/>
    <s v="area_code_510"/>
    <x v="0"/>
    <x v="0"/>
    <n v="40"/>
    <n v="230.7"/>
    <n v="101"/>
    <n v="39.22"/>
    <n v="256.8"/>
    <n v="88"/>
    <n v="21.83"/>
    <n v="263.89999999999998"/>
    <n v="92"/>
    <n v="11.88"/>
    <x v="69"/>
    <x v="0"/>
    <x v="69"/>
    <x v="0"/>
    <x v="0"/>
  </r>
  <r>
    <s v="ID"/>
    <x v="102"/>
    <s v="area_code_408"/>
    <x v="0"/>
    <x v="1"/>
    <n v="0"/>
    <n v="232.6"/>
    <n v="96"/>
    <n v="39.54"/>
    <n v="253.4"/>
    <n v="117"/>
    <n v="21.54"/>
    <n v="154"/>
    <n v="101"/>
    <n v="6.93"/>
    <x v="26"/>
    <x v="6"/>
    <x v="26"/>
    <x v="0"/>
    <x v="0"/>
  </r>
  <r>
    <s v="MS"/>
    <x v="18"/>
    <s v="area_code_408"/>
    <x v="0"/>
    <x v="1"/>
    <n v="0"/>
    <n v="294.7"/>
    <n v="90"/>
    <n v="50.1"/>
    <n v="294.60000000000002"/>
    <n v="72"/>
    <n v="25.04"/>
    <n v="260.10000000000002"/>
    <n v="121"/>
    <n v="11.7"/>
    <x v="81"/>
    <x v="0"/>
    <x v="81"/>
    <x v="0"/>
    <x v="1"/>
  </r>
  <r>
    <s v="WA"/>
    <x v="118"/>
    <s v="area_code_510"/>
    <x v="0"/>
    <x v="1"/>
    <n v="0"/>
    <n v="133.4"/>
    <n v="107"/>
    <n v="22.68"/>
    <n v="223.9"/>
    <n v="117"/>
    <n v="19.03"/>
    <n v="180.4"/>
    <n v="85"/>
    <n v="8.1199999999999992"/>
    <x v="39"/>
    <x v="15"/>
    <x v="39"/>
    <x v="0"/>
    <x v="0"/>
  </r>
  <r>
    <s v="DC"/>
    <x v="67"/>
    <s v="area_code_408"/>
    <x v="0"/>
    <x v="0"/>
    <n v="22"/>
    <n v="306.2"/>
    <n v="123"/>
    <n v="52.05"/>
    <n v="189.7"/>
    <n v="83"/>
    <n v="16.12"/>
    <n v="240.3"/>
    <n v="107"/>
    <n v="10.81"/>
    <x v="50"/>
    <x v="5"/>
    <x v="50"/>
    <x v="1"/>
    <x v="0"/>
  </r>
  <r>
    <s v="KY"/>
    <x v="134"/>
    <s v="area_code_415"/>
    <x v="0"/>
    <x v="1"/>
    <n v="0"/>
    <n v="236.8"/>
    <n v="135"/>
    <n v="40.26"/>
    <n v="186.4"/>
    <n v="87"/>
    <n v="15.84"/>
    <n v="126.9"/>
    <n v="112"/>
    <n v="5.71"/>
    <x v="91"/>
    <x v="1"/>
    <x v="91"/>
    <x v="2"/>
    <x v="0"/>
  </r>
  <r>
    <s v="TN"/>
    <x v="67"/>
    <s v="area_code_510"/>
    <x v="1"/>
    <x v="1"/>
    <n v="0"/>
    <n v="168.4"/>
    <n v="114"/>
    <n v="28.63"/>
    <n v="276"/>
    <n v="127"/>
    <n v="23.46"/>
    <n v="196.2"/>
    <n v="48"/>
    <n v="8.83"/>
    <x v="37"/>
    <x v="0"/>
    <x v="37"/>
    <x v="0"/>
    <x v="0"/>
  </r>
  <r>
    <s v="ID"/>
    <x v="78"/>
    <s v="area_code_415"/>
    <x v="0"/>
    <x v="1"/>
    <n v="0"/>
    <n v="70.900000000000006"/>
    <n v="134"/>
    <n v="12.05"/>
    <n v="134.5"/>
    <n v="112"/>
    <n v="11.43"/>
    <n v="168.8"/>
    <n v="164"/>
    <n v="7.6"/>
    <x v="42"/>
    <x v="3"/>
    <x v="42"/>
    <x v="2"/>
    <x v="0"/>
  </r>
  <r>
    <s v="WI"/>
    <x v="67"/>
    <s v="area_code_415"/>
    <x v="0"/>
    <x v="1"/>
    <n v="0"/>
    <n v="152.1"/>
    <n v="141"/>
    <n v="25.86"/>
    <n v="215.5"/>
    <n v="107"/>
    <n v="18.32"/>
    <n v="262.39999999999998"/>
    <n v="111"/>
    <n v="11.81"/>
    <x v="42"/>
    <x v="2"/>
    <x v="42"/>
    <x v="0"/>
    <x v="0"/>
  </r>
  <r>
    <s v="OK"/>
    <x v="44"/>
    <s v="area_code_510"/>
    <x v="1"/>
    <x v="1"/>
    <n v="0"/>
    <n v="180.9"/>
    <n v="79"/>
    <n v="30.75"/>
    <n v="194.9"/>
    <n v="83"/>
    <n v="16.57"/>
    <n v="197.8"/>
    <n v="109"/>
    <n v="8.9"/>
    <x v="82"/>
    <x v="6"/>
    <x v="82"/>
    <x v="3"/>
    <x v="0"/>
  </r>
  <r>
    <s v="WV"/>
    <x v="172"/>
    <s v="area_code_510"/>
    <x v="0"/>
    <x v="0"/>
    <n v="31"/>
    <n v="156.6"/>
    <n v="84"/>
    <n v="26.62"/>
    <n v="161.5"/>
    <n v="96"/>
    <n v="13.73"/>
    <n v="294.60000000000002"/>
    <n v="107"/>
    <n v="13.26"/>
    <x v="27"/>
    <x v="3"/>
    <x v="27"/>
    <x v="0"/>
    <x v="0"/>
  </r>
  <r>
    <s v="SD"/>
    <x v="208"/>
    <s v="area_code_510"/>
    <x v="0"/>
    <x v="0"/>
    <n v="24"/>
    <n v="180.5"/>
    <n v="85"/>
    <n v="30.69"/>
    <n v="224.1"/>
    <n v="92"/>
    <n v="19.05"/>
    <n v="205.7"/>
    <n v="103"/>
    <n v="9.26"/>
    <x v="157"/>
    <x v="0"/>
    <x v="157"/>
    <x v="1"/>
    <x v="0"/>
  </r>
  <r>
    <s v="KS"/>
    <x v="180"/>
    <s v="area_code_510"/>
    <x v="0"/>
    <x v="0"/>
    <n v="30"/>
    <n v="238.8"/>
    <n v="100"/>
    <n v="40.6"/>
    <n v="230"/>
    <n v="121"/>
    <n v="19.55"/>
    <n v="206.3"/>
    <n v="66"/>
    <n v="9.2799999999999994"/>
    <x v="32"/>
    <x v="10"/>
    <x v="32"/>
    <x v="0"/>
    <x v="0"/>
  </r>
  <r>
    <s v="NC"/>
    <x v="130"/>
    <s v="area_code_415"/>
    <x v="0"/>
    <x v="0"/>
    <n v="18"/>
    <n v="182.1"/>
    <n v="66"/>
    <n v="30.96"/>
    <n v="213.6"/>
    <n v="65"/>
    <n v="18.16"/>
    <n v="193"/>
    <n v="108"/>
    <n v="8.69"/>
    <x v="83"/>
    <x v="6"/>
    <x v="83"/>
    <x v="2"/>
    <x v="0"/>
  </r>
  <r>
    <s v="NY"/>
    <x v="50"/>
    <s v="area_code_415"/>
    <x v="0"/>
    <x v="0"/>
    <n v="35"/>
    <n v="139.6"/>
    <n v="72"/>
    <n v="23.73"/>
    <n v="332.8"/>
    <n v="170"/>
    <n v="28.29"/>
    <n v="213.8"/>
    <n v="105"/>
    <n v="9.6199999999999992"/>
    <x v="82"/>
    <x v="5"/>
    <x v="82"/>
    <x v="2"/>
    <x v="0"/>
  </r>
  <r>
    <s v="WI"/>
    <x v="205"/>
    <s v="area_code_408"/>
    <x v="0"/>
    <x v="0"/>
    <n v="12"/>
    <n v="200.3"/>
    <n v="76"/>
    <n v="34.049999999999997"/>
    <n v="253.6"/>
    <n v="105"/>
    <n v="21.56"/>
    <n v="149.30000000000001"/>
    <n v="93"/>
    <n v="6.72"/>
    <x v="39"/>
    <x v="1"/>
    <x v="39"/>
    <x v="1"/>
    <x v="0"/>
  </r>
  <r>
    <s v="SC"/>
    <x v="105"/>
    <s v="area_code_408"/>
    <x v="0"/>
    <x v="1"/>
    <n v="0"/>
    <n v="153.5"/>
    <n v="94"/>
    <n v="26.1"/>
    <n v="251.7"/>
    <n v="118"/>
    <n v="21.39"/>
    <n v="182.2"/>
    <n v="99"/>
    <n v="8.1999999999999993"/>
    <x v="31"/>
    <x v="3"/>
    <x v="31"/>
    <x v="0"/>
    <x v="0"/>
  </r>
  <r>
    <s v="UT"/>
    <x v="72"/>
    <s v="area_code_415"/>
    <x v="1"/>
    <x v="0"/>
    <n v="29"/>
    <n v="128.19999999999999"/>
    <n v="119"/>
    <n v="21.79"/>
    <n v="171.7"/>
    <n v="83"/>
    <n v="14.59"/>
    <n v="250.9"/>
    <n v="114"/>
    <n v="11.29"/>
    <x v="50"/>
    <x v="3"/>
    <x v="50"/>
    <x v="3"/>
    <x v="0"/>
  </r>
  <r>
    <s v="NC"/>
    <x v="77"/>
    <s v="area_code_408"/>
    <x v="0"/>
    <x v="1"/>
    <n v="0"/>
    <n v="159.5"/>
    <n v="145"/>
    <n v="27.12"/>
    <n v="202.3"/>
    <n v="101"/>
    <n v="17.2"/>
    <n v="256"/>
    <n v="96"/>
    <n v="11.52"/>
    <x v="124"/>
    <x v="5"/>
    <x v="124"/>
    <x v="2"/>
    <x v="0"/>
  </r>
  <r>
    <s v="IN"/>
    <x v="85"/>
    <s v="area_code_415"/>
    <x v="0"/>
    <x v="1"/>
    <n v="0"/>
    <n v="226.4"/>
    <n v="101"/>
    <n v="38.49"/>
    <n v="276.8"/>
    <n v="60"/>
    <n v="23.53"/>
    <n v="213.4"/>
    <n v="82"/>
    <n v="9.6"/>
    <x v="10"/>
    <x v="4"/>
    <x v="10"/>
    <x v="3"/>
    <x v="1"/>
  </r>
  <r>
    <s v="AR"/>
    <x v="111"/>
    <s v="area_code_408"/>
    <x v="0"/>
    <x v="1"/>
    <n v="0"/>
    <n v="251.9"/>
    <n v="81"/>
    <n v="42.82"/>
    <n v="194.6"/>
    <n v="96"/>
    <n v="16.54"/>
    <n v="211.2"/>
    <n v="87"/>
    <n v="9.5"/>
    <x v="80"/>
    <x v="0"/>
    <x v="80"/>
    <x v="2"/>
    <x v="0"/>
  </r>
  <r>
    <s v="ME"/>
    <x v="108"/>
    <s v="area_code_510"/>
    <x v="0"/>
    <x v="1"/>
    <n v="0"/>
    <n v="264.5"/>
    <n v="117"/>
    <n v="44.97"/>
    <n v="194"/>
    <n v="111"/>
    <n v="16.489999999999998"/>
    <n v="262.7"/>
    <n v="111"/>
    <n v="11.82"/>
    <x v="4"/>
    <x v="4"/>
    <x v="4"/>
    <x v="2"/>
    <x v="1"/>
  </r>
  <r>
    <s v="NY"/>
    <x v="127"/>
    <s v="area_code_415"/>
    <x v="0"/>
    <x v="1"/>
    <n v="0"/>
    <n v="153.69999999999999"/>
    <n v="105"/>
    <n v="26.13"/>
    <n v="188.6"/>
    <n v="87"/>
    <n v="16.03"/>
    <n v="200.8"/>
    <n v="95"/>
    <n v="9.0399999999999991"/>
    <x v="85"/>
    <x v="5"/>
    <x v="85"/>
    <x v="1"/>
    <x v="0"/>
  </r>
  <r>
    <s v="OR"/>
    <x v="168"/>
    <s v="area_code_510"/>
    <x v="0"/>
    <x v="1"/>
    <n v="0"/>
    <n v="232.1"/>
    <n v="81"/>
    <n v="39.46"/>
    <n v="210.8"/>
    <n v="101"/>
    <n v="17.920000000000002"/>
    <n v="165.4"/>
    <n v="87"/>
    <n v="7.44"/>
    <x v="51"/>
    <x v="3"/>
    <x v="51"/>
    <x v="5"/>
    <x v="0"/>
  </r>
  <r>
    <s v="IL"/>
    <x v="6"/>
    <s v="area_code_415"/>
    <x v="0"/>
    <x v="1"/>
    <n v="0"/>
    <n v="201.9"/>
    <n v="86"/>
    <n v="34.32"/>
    <n v="212.3"/>
    <n v="96"/>
    <n v="18.05"/>
    <n v="176.9"/>
    <n v="98"/>
    <n v="7.96"/>
    <x v="35"/>
    <x v="11"/>
    <x v="35"/>
    <x v="0"/>
    <x v="0"/>
  </r>
  <r>
    <s v="MA"/>
    <x v="137"/>
    <s v="area_code_408"/>
    <x v="0"/>
    <x v="1"/>
    <n v="0"/>
    <n v="186.9"/>
    <n v="79"/>
    <n v="31.77"/>
    <n v="182.6"/>
    <n v="105"/>
    <n v="15.52"/>
    <n v="143.1"/>
    <n v="90"/>
    <n v="6.44"/>
    <x v="134"/>
    <x v="17"/>
    <x v="134"/>
    <x v="0"/>
    <x v="0"/>
  </r>
  <r>
    <s v="CT"/>
    <x v="131"/>
    <s v="area_code_510"/>
    <x v="0"/>
    <x v="0"/>
    <n v="27"/>
    <n v="196.6"/>
    <n v="89"/>
    <n v="33.42"/>
    <n v="180.6"/>
    <n v="95"/>
    <n v="15.35"/>
    <n v="245"/>
    <n v="83"/>
    <n v="11.03"/>
    <x v="2"/>
    <x v="1"/>
    <x v="2"/>
    <x v="0"/>
    <x v="0"/>
  </r>
  <r>
    <s v="WI"/>
    <x v="34"/>
    <s v="area_code_510"/>
    <x v="0"/>
    <x v="1"/>
    <n v="0"/>
    <n v="232.1"/>
    <n v="102"/>
    <n v="39.46"/>
    <n v="168.2"/>
    <n v="110"/>
    <n v="14.3"/>
    <n v="197.3"/>
    <n v="120"/>
    <n v="8.8800000000000008"/>
    <x v="79"/>
    <x v="0"/>
    <x v="79"/>
    <x v="0"/>
    <x v="0"/>
  </r>
  <r>
    <s v="OK"/>
    <x v="126"/>
    <s v="area_code_415"/>
    <x v="0"/>
    <x v="1"/>
    <n v="0"/>
    <n v="166"/>
    <n v="79"/>
    <n v="28.22"/>
    <n v="74.599999999999994"/>
    <n v="100"/>
    <n v="6.34"/>
    <n v="247.9"/>
    <n v="74"/>
    <n v="11.16"/>
    <x v="21"/>
    <x v="2"/>
    <x v="21"/>
    <x v="1"/>
    <x v="0"/>
  </r>
  <r>
    <s v="DE"/>
    <x v="3"/>
    <s v="area_code_510"/>
    <x v="0"/>
    <x v="0"/>
    <n v="28"/>
    <n v="200.6"/>
    <n v="96"/>
    <n v="34.1"/>
    <n v="164.1"/>
    <n v="111"/>
    <n v="13.95"/>
    <n v="169.6"/>
    <n v="153"/>
    <n v="7.63"/>
    <x v="158"/>
    <x v="1"/>
    <x v="158"/>
    <x v="0"/>
    <x v="0"/>
  </r>
  <r>
    <s v="AZ"/>
    <x v="35"/>
    <s v="area_code_408"/>
    <x v="0"/>
    <x v="0"/>
    <n v="25"/>
    <n v="141"/>
    <n v="101"/>
    <n v="23.97"/>
    <n v="212"/>
    <n v="85"/>
    <n v="18.02"/>
    <n v="175.2"/>
    <n v="138"/>
    <n v="7.88"/>
    <x v="140"/>
    <x v="5"/>
    <x v="140"/>
    <x v="3"/>
    <x v="0"/>
  </r>
  <r>
    <s v="AK"/>
    <x v="4"/>
    <s v="area_code_408"/>
    <x v="0"/>
    <x v="0"/>
    <n v="34"/>
    <n v="245"/>
    <n v="95"/>
    <n v="41.65"/>
    <n v="216.9"/>
    <n v="66"/>
    <n v="18.440000000000001"/>
    <n v="112.4"/>
    <n v="125"/>
    <n v="5.0599999999999996"/>
    <x v="4"/>
    <x v="10"/>
    <x v="4"/>
    <x v="1"/>
    <x v="0"/>
  </r>
  <r>
    <s v="MI"/>
    <x v="34"/>
    <s v="area_code_415"/>
    <x v="1"/>
    <x v="1"/>
    <n v="0"/>
    <n v="140.80000000000001"/>
    <n v="140"/>
    <n v="23.94"/>
    <n v="228.6"/>
    <n v="119"/>
    <n v="19.43"/>
    <n v="152.9"/>
    <n v="88"/>
    <n v="6.88"/>
    <x v="54"/>
    <x v="2"/>
    <x v="54"/>
    <x v="0"/>
    <x v="0"/>
  </r>
  <r>
    <s v="WA"/>
    <x v="4"/>
    <s v="area_code_510"/>
    <x v="0"/>
    <x v="1"/>
    <n v="0"/>
    <n v="255.1"/>
    <n v="93"/>
    <n v="43.37"/>
    <n v="266.89999999999998"/>
    <n v="97"/>
    <n v="22.69"/>
    <n v="197.7"/>
    <n v="118"/>
    <n v="8.9"/>
    <x v="82"/>
    <x v="0"/>
    <x v="82"/>
    <x v="3"/>
    <x v="1"/>
  </r>
  <r>
    <s v="SD"/>
    <x v="137"/>
    <s v="area_code_415"/>
    <x v="0"/>
    <x v="0"/>
    <n v="33"/>
    <n v="125"/>
    <n v="99"/>
    <n v="21.25"/>
    <n v="235.3"/>
    <n v="81"/>
    <n v="20"/>
    <n v="215.3"/>
    <n v="95"/>
    <n v="9.69"/>
    <x v="39"/>
    <x v="2"/>
    <x v="39"/>
    <x v="2"/>
    <x v="0"/>
  </r>
  <r>
    <s v="SD"/>
    <x v="30"/>
    <s v="area_code_408"/>
    <x v="0"/>
    <x v="1"/>
    <n v="0"/>
    <n v="180.6"/>
    <n v="65"/>
    <n v="30.7"/>
    <n v="280.39999999999998"/>
    <n v="99"/>
    <n v="23.83"/>
    <n v="292.39999999999998"/>
    <n v="105"/>
    <n v="13.16"/>
    <x v="105"/>
    <x v="0"/>
    <x v="105"/>
    <x v="0"/>
    <x v="0"/>
  </r>
  <r>
    <s v="AK"/>
    <x v="181"/>
    <s v="area_code_415"/>
    <x v="1"/>
    <x v="1"/>
    <n v="0"/>
    <n v="248.7"/>
    <n v="118"/>
    <n v="42.28"/>
    <n v="172.3"/>
    <n v="73"/>
    <n v="14.65"/>
    <n v="191.9"/>
    <n v="87"/>
    <n v="8.64"/>
    <x v="61"/>
    <x v="5"/>
    <x v="61"/>
    <x v="0"/>
    <x v="1"/>
  </r>
  <r>
    <s v="MA"/>
    <x v="142"/>
    <s v="area_code_415"/>
    <x v="0"/>
    <x v="0"/>
    <n v="30"/>
    <n v="178.1"/>
    <n v="111"/>
    <n v="30.28"/>
    <n v="236.7"/>
    <n v="109"/>
    <n v="20.12"/>
    <n v="264"/>
    <n v="118"/>
    <n v="11.88"/>
    <x v="80"/>
    <x v="5"/>
    <x v="80"/>
    <x v="1"/>
    <x v="0"/>
  </r>
  <r>
    <s v="AR"/>
    <x v="48"/>
    <s v="area_code_415"/>
    <x v="1"/>
    <x v="1"/>
    <n v="0"/>
    <n v="122.2"/>
    <n v="112"/>
    <n v="20.77"/>
    <n v="131.69999999999999"/>
    <n v="94"/>
    <n v="11.19"/>
    <n v="169.5"/>
    <n v="106"/>
    <n v="7.63"/>
    <x v="19"/>
    <x v="6"/>
    <x v="19"/>
    <x v="5"/>
    <x v="1"/>
  </r>
  <r>
    <s v="KS"/>
    <x v="116"/>
    <s v="area_code_415"/>
    <x v="0"/>
    <x v="1"/>
    <n v="0"/>
    <n v="231.3"/>
    <n v="87"/>
    <n v="39.32"/>
    <n v="224.7"/>
    <n v="88"/>
    <n v="19.100000000000001"/>
    <n v="214.6"/>
    <n v="69"/>
    <n v="9.66"/>
    <x v="68"/>
    <x v="2"/>
    <x v="68"/>
    <x v="0"/>
    <x v="0"/>
  </r>
  <r>
    <s v="OR"/>
    <x v="121"/>
    <s v="area_code_415"/>
    <x v="0"/>
    <x v="1"/>
    <n v="0"/>
    <n v="111.2"/>
    <n v="101"/>
    <n v="18.899999999999999"/>
    <n v="122.1"/>
    <n v="94"/>
    <n v="10.38"/>
    <n v="180.8"/>
    <n v="85"/>
    <n v="8.14"/>
    <x v="44"/>
    <x v="5"/>
    <x v="44"/>
    <x v="3"/>
    <x v="0"/>
  </r>
  <r>
    <s v="NC"/>
    <x v="16"/>
    <s v="area_code_408"/>
    <x v="1"/>
    <x v="0"/>
    <n v="44"/>
    <n v="103.2"/>
    <n v="117"/>
    <n v="17.54"/>
    <n v="236.3"/>
    <n v="86"/>
    <n v="20.09"/>
    <n v="203.5"/>
    <n v="101"/>
    <n v="9.16"/>
    <x v="78"/>
    <x v="5"/>
    <x v="78"/>
    <x v="1"/>
    <x v="1"/>
  </r>
  <r>
    <s v="OK"/>
    <x v="117"/>
    <s v="area_code_510"/>
    <x v="0"/>
    <x v="1"/>
    <n v="0"/>
    <n v="138.4"/>
    <n v="104"/>
    <n v="23.53"/>
    <n v="158.9"/>
    <n v="122"/>
    <n v="13.51"/>
    <n v="47.4"/>
    <n v="73"/>
    <n v="2.13"/>
    <x v="159"/>
    <x v="6"/>
    <x v="159"/>
    <x v="4"/>
    <x v="1"/>
  </r>
  <r>
    <s v="NJ"/>
    <x v="67"/>
    <s v="area_code_415"/>
    <x v="0"/>
    <x v="1"/>
    <n v="0"/>
    <n v="146.30000000000001"/>
    <n v="85"/>
    <n v="24.87"/>
    <n v="216.6"/>
    <n v="95"/>
    <n v="18.41"/>
    <n v="233"/>
    <n v="82"/>
    <n v="10.49"/>
    <x v="73"/>
    <x v="0"/>
    <x v="73"/>
    <x v="1"/>
    <x v="0"/>
  </r>
  <r>
    <s v="NM"/>
    <x v="132"/>
    <s v="area_code_415"/>
    <x v="0"/>
    <x v="1"/>
    <n v="0"/>
    <n v="132"/>
    <n v="103"/>
    <n v="22.44"/>
    <n v="279.60000000000002"/>
    <n v="114"/>
    <n v="23.77"/>
    <n v="180"/>
    <n v="74"/>
    <n v="8.1"/>
    <x v="88"/>
    <x v="4"/>
    <x v="88"/>
    <x v="1"/>
    <x v="0"/>
  </r>
  <r>
    <s v="OH"/>
    <x v="105"/>
    <s v="area_code_408"/>
    <x v="0"/>
    <x v="1"/>
    <n v="0"/>
    <n v="274.60000000000002"/>
    <n v="105"/>
    <n v="46.68"/>
    <n v="161.1"/>
    <n v="121"/>
    <n v="13.69"/>
    <n v="194.4"/>
    <n v="123"/>
    <n v="8.75"/>
    <x v="29"/>
    <x v="4"/>
    <x v="29"/>
    <x v="2"/>
    <x v="0"/>
  </r>
  <r>
    <s v="MI"/>
    <x v="69"/>
    <s v="area_code_510"/>
    <x v="0"/>
    <x v="1"/>
    <n v="0"/>
    <n v="185.3"/>
    <n v="87"/>
    <n v="31.5"/>
    <n v="225.3"/>
    <n v="87"/>
    <n v="19.149999999999999"/>
    <n v="194.3"/>
    <n v="93"/>
    <n v="8.74"/>
    <x v="50"/>
    <x v="0"/>
    <x v="50"/>
    <x v="1"/>
    <x v="0"/>
  </r>
  <r>
    <s v="KS"/>
    <x v="76"/>
    <s v="area_code_415"/>
    <x v="0"/>
    <x v="0"/>
    <n v="24"/>
    <n v="154.80000000000001"/>
    <n v="69"/>
    <n v="26.32"/>
    <n v="177.2"/>
    <n v="105"/>
    <n v="15.06"/>
    <n v="207.6"/>
    <n v="102"/>
    <n v="9.34"/>
    <x v="62"/>
    <x v="4"/>
    <x v="62"/>
    <x v="0"/>
    <x v="0"/>
  </r>
  <r>
    <s v="IL"/>
    <x v="20"/>
    <s v="area_code_415"/>
    <x v="0"/>
    <x v="0"/>
    <n v="30"/>
    <n v="179.2"/>
    <n v="105"/>
    <n v="30.46"/>
    <n v="283.2"/>
    <n v="83"/>
    <n v="24.07"/>
    <n v="228.1"/>
    <n v="77"/>
    <n v="10.26"/>
    <x v="20"/>
    <x v="1"/>
    <x v="20"/>
    <x v="0"/>
    <x v="0"/>
  </r>
  <r>
    <s v="RI"/>
    <x v="51"/>
    <s v="area_code_510"/>
    <x v="1"/>
    <x v="1"/>
    <n v="0"/>
    <n v="286.2"/>
    <n v="61"/>
    <n v="48.65"/>
    <n v="187.2"/>
    <n v="60"/>
    <n v="15.91"/>
    <n v="146.19999999999999"/>
    <n v="114"/>
    <n v="6.58"/>
    <x v="34"/>
    <x v="4"/>
    <x v="34"/>
    <x v="2"/>
    <x v="1"/>
  </r>
  <r>
    <s v="NY"/>
    <x v="158"/>
    <s v="area_code_415"/>
    <x v="0"/>
    <x v="1"/>
    <n v="0"/>
    <n v="137.5"/>
    <n v="110"/>
    <n v="23.38"/>
    <n v="198.1"/>
    <n v="109"/>
    <n v="16.84"/>
    <n v="292.7"/>
    <n v="131"/>
    <n v="13.17"/>
    <x v="64"/>
    <x v="1"/>
    <x v="64"/>
    <x v="2"/>
    <x v="0"/>
  </r>
  <r>
    <s v="WY"/>
    <x v="88"/>
    <s v="area_code_408"/>
    <x v="0"/>
    <x v="1"/>
    <n v="0"/>
    <n v="243"/>
    <n v="115"/>
    <n v="41.31"/>
    <n v="191.8"/>
    <n v="91"/>
    <n v="16.3"/>
    <n v="117.8"/>
    <n v="93"/>
    <n v="5.3"/>
    <x v="83"/>
    <x v="1"/>
    <x v="83"/>
    <x v="2"/>
    <x v="0"/>
  </r>
  <r>
    <s v="NC"/>
    <x v="76"/>
    <s v="area_code_510"/>
    <x v="0"/>
    <x v="1"/>
    <n v="0"/>
    <n v="134.9"/>
    <n v="79"/>
    <n v="22.93"/>
    <n v="221.5"/>
    <n v="114"/>
    <n v="18.829999999999998"/>
    <n v="113.8"/>
    <n v="118"/>
    <n v="5.12"/>
    <x v="51"/>
    <x v="5"/>
    <x v="51"/>
    <x v="0"/>
    <x v="0"/>
  </r>
  <r>
    <s v="OR"/>
    <x v="72"/>
    <s v="area_code_415"/>
    <x v="0"/>
    <x v="1"/>
    <n v="0"/>
    <n v="234.2"/>
    <n v="76"/>
    <n v="39.81"/>
    <n v="216.7"/>
    <n v="108"/>
    <n v="18.420000000000002"/>
    <n v="130.6"/>
    <n v="122"/>
    <n v="5.88"/>
    <x v="55"/>
    <x v="5"/>
    <x v="55"/>
    <x v="0"/>
    <x v="0"/>
  </r>
  <r>
    <s v="VT"/>
    <x v="100"/>
    <s v="area_code_415"/>
    <x v="0"/>
    <x v="1"/>
    <n v="0"/>
    <n v="175.1"/>
    <n v="73"/>
    <n v="29.77"/>
    <n v="171.9"/>
    <n v="116"/>
    <n v="14.61"/>
    <n v="131.1"/>
    <n v="94"/>
    <n v="5.9"/>
    <x v="48"/>
    <x v="3"/>
    <x v="48"/>
    <x v="0"/>
    <x v="0"/>
  </r>
  <r>
    <s v="SD"/>
    <x v="105"/>
    <s v="area_code_408"/>
    <x v="0"/>
    <x v="1"/>
    <n v="0"/>
    <n v="142.19999999999999"/>
    <n v="107"/>
    <n v="24.17"/>
    <n v="262.39999999999998"/>
    <n v="84"/>
    <n v="22.3"/>
    <n v="139.19999999999999"/>
    <n v="99"/>
    <n v="6.26"/>
    <x v="3"/>
    <x v="1"/>
    <x v="3"/>
    <x v="0"/>
    <x v="0"/>
  </r>
  <r>
    <s v="RI"/>
    <x v="121"/>
    <s v="area_code_415"/>
    <x v="0"/>
    <x v="0"/>
    <n v="24"/>
    <n v="97.8"/>
    <n v="98"/>
    <n v="16.63"/>
    <n v="207.2"/>
    <n v="67"/>
    <n v="17.61"/>
    <n v="214.5"/>
    <n v="126"/>
    <n v="9.65"/>
    <x v="96"/>
    <x v="5"/>
    <x v="96"/>
    <x v="1"/>
    <x v="0"/>
  </r>
  <r>
    <s v="ID"/>
    <x v="55"/>
    <s v="area_code_415"/>
    <x v="0"/>
    <x v="1"/>
    <n v="0"/>
    <n v="266.89999999999998"/>
    <n v="83"/>
    <n v="45.37"/>
    <n v="229.7"/>
    <n v="74"/>
    <n v="19.52"/>
    <n v="251.7"/>
    <n v="99"/>
    <n v="11.33"/>
    <x v="34"/>
    <x v="3"/>
    <x v="34"/>
    <x v="3"/>
    <x v="1"/>
  </r>
  <r>
    <s v="OK"/>
    <x v="51"/>
    <s v="area_code_510"/>
    <x v="0"/>
    <x v="0"/>
    <n v="33"/>
    <n v="155.19999999999999"/>
    <n v="139"/>
    <n v="26.38"/>
    <n v="268.3"/>
    <n v="79"/>
    <n v="22.81"/>
    <n v="186.4"/>
    <n v="71"/>
    <n v="8.39"/>
    <x v="84"/>
    <x v="4"/>
    <x v="84"/>
    <x v="3"/>
    <x v="0"/>
  </r>
  <r>
    <s v="MN"/>
    <x v="85"/>
    <s v="area_code_415"/>
    <x v="0"/>
    <x v="1"/>
    <n v="0"/>
    <n v="200.2"/>
    <n v="92"/>
    <n v="34.03"/>
    <n v="244.9"/>
    <n v="107"/>
    <n v="20.82"/>
    <n v="190.9"/>
    <n v="96"/>
    <n v="8.59"/>
    <x v="82"/>
    <x v="0"/>
    <x v="82"/>
    <x v="0"/>
    <x v="0"/>
  </r>
  <r>
    <s v="WV"/>
    <x v="6"/>
    <s v="area_code_510"/>
    <x v="1"/>
    <x v="1"/>
    <n v="0"/>
    <n v="198.4"/>
    <n v="121"/>
    <n v="33.729999999999997"/>
    <n v="249.5"/>
    <n v="104"/>
    <n v="21.21"/>
    <n v="162.80000000000001"/>
    <n v="115"/>
    <n v="7.33"/>
    <x v="26"/>
    <x v="1"/>
    <x v="26"/>
    <x v="0"/>
    <x v="0"/>
  </r>
  <r>
    <s v="NH"/>
    <x v="37"/>
    <s v="area_code_415"/>
    <x v="0"/>
    <x v="1"/>
    <n v="0"/>
    <n v="180.3"/>
    <n v="67"/>
    <n v="30.65"/>
    <n v="208"/>
    <n v="68"/>
    <n v="17.68"/>
    <n v="181.2"/>
    <n v="101"/>
    <n v="8.15"/>
    <x v="75"/>
    <x v="3"/>
    <x v="75"/>
    <x v="2"/>
    <x v="0"/>
  </r>
  <r>
    <s v="WI"/>
    <x v="86"/>
    <s v="area_code_415"/>
    <x v="0"/>
    <x v="1"/>
    <n v="0"/>
    <n v="86.3"/>
    <n v="84"/>
    <n v="14.67"/>
    <n v="238.7"/>
    <n v="99"/>
    <n v="20.29"/>
    <n v="238.4"/>
    <n v="79"/>
    <n v="10.73"/>
    <x v="60"/>
    <x v="8"/>
    <x v="60"/>
    <x v="2"/>
    <x v="0"/>
  </r>
  <r>
    <s v="MD"/>
    <x v="139"/>
    <s v="area_code_510"/>
    <x v="0"/>
    <x v="1"/>
    <n v="0"/>
    <n v="295"/>
    <n v="141"/>
    <n v="50.15"/>
    <n v="223.6"/>
    <n v="101"/>
    <n v="19.010000000000002"/>
    <n v="229.4"/>
    <n v="109"/>
    <n v="10.32"/>
    <x v="89"/>
    <x v="4"/>
    <x v="89"/>
    <x v="2"/>
    <x v="1"/>
  </r>
  <r>
    <s v="IN"/>
    <x v="100"/>
    <s v="area_code_408"/>
    <x v="0"/>
    <x v="1"/>
    <n v="0"/>
    <n v="240.9"/>
    <n v="108"/>
    <n v="40.950000000000003"/>
    <n v="167.4"/>
    <n v="91"/>
    <n v="14.23"/>
    <n v="322.2"/>
    <n v="109"/>
    <n v="14.5"/>
    <x v="20"/>
    <x v="10"/>
    <x v="20"/>
    <x v="3"/>
    <x v="0"/>
  </r>
  <r>
    <s v="IN"/>
    <x v="8"/>
    <s v="area_code_408"/>
    <x v="0"/>
    <x v="1"/>
    <n v="0"/>
    <n v="207.7"/>
    <n v="109"/>
    <n v="35.31"/>
    <n v="217.5"/>
    <n v="117"/>
    <n v="18.489999999999998"/>
    <n v="125.6"/>
    <n v="111"/>
    <n v="5.65"/>
    <x v="40"/>
    <x v="1"/>
    <x v="40"/>
    <x v="0"/>
    <x v="0"/>
  </r>
  <r>
    <s v="NY"/>
    <x v="64"/>
    <s v="area_code_510"/>
    <x v="0"/>
    <x v="0"/>
    <n v="27"/>
    <n v="128.5"/>
    <n v="115"/>
    <n v="21.85"/>
    <n v="163.69999999999999"/>
    <n v="91"/>
    <n v="13.91"/>
    <n v="242.9"/>
    <n v="121"/>
    <n v="10.93"/>
    <x v="77"/>
    <x v="13"/>
    <x v="77"/>
    <x v="0"/>
    <x v="0"/>
  </r>
  <r>
    <s v="OR"/>
    <x v="34"/>
    <s v="area_code_510"/>
    <x v="0"/>
    <x v="0"/>
    <n v="22"/>
    <n v="224.4"/>
    <n v="114"/>
    <n v="38.15"/>
    <n v="146"/>
    <n v="106"/>
    <n v="12.41"/>
    <n v="241.4"/>
    <n v="98"/>
    <n v="10.86"/>
    <x v="82"/>
    <x v="5"/>
    <x v="82"/>
    <x v="0"/>
    <x v="0"/>
  </r>
  <r>
    <s v="OK"/>
    <x v="169"/>
    <s v="area_code_415"/>
    <x v="0"/>
    <x v="1"/>
    <n v="0"/>
    <n v="164.9"/>
    <n v="115"/>
    <n v="28.03"/>
    <n v="126.5"/>
    <n v="96"/>
    <n v="10.75"/>
    <n v="238.5"/>
    <n v="125"/>
    <n v="10.73"/>
    <x v="13"/>
    <x v="6"/>
    <x v="13"/>
    <x v="2"/>
    <x v="0"/>
  </r>
  <r>
    <s v="WI"/>
    <x v="137"/>
    <s v="area_code_415"/>
    <x v="0"/>
    <x v="1"/>
    <n v="0"/>
    <n v="238"/>
    <n v="97"/>
    <n v="40.46"/>
    <n v="164.5"/>
    <n v="97"/>
    <n v="13.98"/>
    <n v="282.5"/>
    <n v="132"/>
    <n v="12.71"/>
    <x v="15"/>
    <x v="3"/>
    <x v="15"/>
    <x v="2"/>
    <x v="0"/>
  </r>
  <r>
    <s v="NJ"/>
    <x v="83"/>
    <s v="area_code_415"/>
    <x v="0"/>
    <x v="0"/>
    <n v="43"/>
    <n v="231"/>
    <n v="85"/>
    <n v="39.270000000000003"/>
    <n v="222.3"/>
    <n v="82"/>
    <n v="18.899999999999999"/>
    <n v="148"/>
    <n v="105"/>
    <n v="6.66"/>
    <x v="24"/>
    <x v="1"/>
    <x v="24"/>
    <x v="2"/>
    <x v="0"/>
  </r>
  <r>
    <s v="AR"/>
    <x v="14"/>
    <s v="area_code_408"/>
    <x v="0"/>
    <x v="1"/>
    <n v="0"/>
    <n v="107.3"/>
    <n v="140"/>
    <n v="18.239999999999998"/>
    <n v="238.2"/>
    <n v="133"/>
    <n v="20.25"/>
    <n v="271.8"/>
    <n v="116"/>
    <n v="12.23"/>
    <x v="13"/>
    <x v="0"/>
    <x v="13"/>
    <x v="4"/>
    <x v="1"/>
  </r>
  <r>
    <s v="UT"/>
    <x v="108"/>
    <s v="area_code_408"/>
    <x v="0"/>
    <x v="1"/>
    <n v="0"/>
    <n v="185"/>
    <n v="122"/>
    <n v="31.45"/>
    <n v="182.5"/>
    <n v="92"/>
    <n v="15.51"/>
    <n v="274.89999999999998"/>
    <n v="92"/>
    <n v="12.37"/>
    <x v="118"/>
    <x v="10"/>
    <x v="118"/>
    <x v="0"/>
    <x v="0"/>
  </r>
  <r>
    <s v="DC"/>
    <x v="63"/>
    <s v="area_code_415"/>
    <x v="0"/>
    <x v="0"/>
    <n v="31"/>
    <n v="244.1"/>
    <n v="71"/>
    <n v="41.5"/>
    <n v="203.4"/>
    <n v="58"/>
    <n v="17.29"/>
    <n v="234"/>
    <n v="115"/>
    <n v="10.53"/>
    <x v="18"/>
    <x v="4"/>
    <x v="18"/>
    <x v="3"/>
    <x v="0"/>
  </r>
  <r>
    <s v="AZ"/>
    <x v="119"/>
    <s v="area_code_415"/>
    <x v="0"/>
    <x v="0"/>
    <n v="27"/>
    <n v="141.1"/>
    <n v="109"/>
    <n v="23.99"/>
    <n v="224.7"/>
    <n v="94"/>
    <n v="19.100000000000001"/>
    <n v="174.3"/>
    <n v="122"/>
    <n v="7.84"/>
    <x v="32"/>
    <x v="5"/>
    <x v="32"/>
    <x v="0"/>
    <x v="0"/>
  </r>
  <r>
    <s v="KS"/>
    <x v="20"/>
    <s v="area_code_415"/>
    <x v="0"/>
    <x v="1"/>
    <n v="0"/>
    <n v="158.1"/>
    <n v="117"/>
    <n v="26.88"/>
    <n v="115.2"/>
    <n v="149"/>
    <n v="9.7899999999999991"/>
    <n v="182.4"/>
    <n v="92"/>
    <n v="8.2100000000000009"/>
    <x v="23"/>
    <x v="2"/>
    <x v="23"/>
    <x v="1"/>
    <x v="0"/>
  </r>
  <r>
    <s v="KS"/>
    <x v="95"/>
    <s v="area_code_415"/>
    <x v="0"/>
    <x v="0"/>
    <n v="42"/>
    <n v="199.5"/>
    <n v="119"/>
    <n v="33.92"/>
    <n v="135"/>
    <n v="90"/>
    <n v="11.48"/>
    <n v="184.6"/>
    <n v="49"/>
    <n v="8.31"/>
    <x v="54"/>
    <x v="0"/>
    <x v="54"/>
    <x v="4"/>
    <x v="1"/>
  </r>
  <r>
    <s v="SC"/>
    <x v="26"/>
    <s v="area_code_415"/>
    <x v="0"/>
    <x v="1"/>
    <n v="0"/>
    <n v="109.5"/>
    <n v="105"/>
    <n v="18.62"/>
    <n v="286.10000000000002"/>
    <n v="90"/>
    <n v="24.32"/>
    <n v="247.6"/>
    <n v="113"/>
    <n v="11.14"/>
    <x v="140"/>
    <x v="6"/>
    <x v="140"/>
    <x v="0"/>
    <x v="0"/>
  </r>
  <r>
    <s v="CA"/>
    <x v="76"/>
    <s v="area_code_510"/>
    <x v="0"/>
    <x v="1"/>
    <n v="0"/>
    <n v="107.9"/>
    <n v="128"/>
    <n v="18.34"/>
    <n v="187"/>
    <n v="77"/>
    <n v="15.9"/>
    <n v="218.5"/>
    <n v="95"/>
    <n v="9.83"/>
    <x v="77"/>
    <x v="13"/>
    <x v="77"/>
    <x v="1"/>
    <x v="0"/>
  </r>
  <r>
    <s v="MI"/>
    <x v="115"/>
    <s v="area_code_510"/>
    <x v="1"/>
    <x v="0"/>
    <n v="22"/>
    <n v="172.1"/>
    <n v="119"/>
    <n v="29.26"/>
    <n v="223.6"/>
    <n v="133"/>
    <n v="19.010000000000002"/>
    <n v="150"/>
    <n v="94"/>
    <n v="6.75"/>
    <x v="55"/>
    <x v="19"/>
    <x v="55"/>
    <x v="0"/>
    <x v="1"/>
  </r>
  <r>
    <s v="RI"/>
    <x v="11"/>
    <s v="area_code_408"/>
    <x v="0"/>
    <x v="1"/>
    <n v="0"/>
    <n v="160"/>
    <n v="133"/>
    <n v="27.2"/>
    <n v="215.3"/>
    <n v="98"/>
    <n v="18.3"/>
    <n v="188.9"/>
    <n v="87"/>
    <n v="8.5"/>
    <x v="9"/>
    <x v="4"/>
    <x v="9"/>
    <x v="1"/>
    <x v="0"/>
  </r>
  <r>
    <s v="TN"/>
    <x v="77"/>
    <s v="area_code_415"/>
    <x v="0"/>
    <x v="1"/>
    <n v="0"/>
    <n v="227.7"/>
    <n v="88"/>
    <n v="38.71"/>
    <n v="170"/>
    <n v="96"/>
    <n v="14.45"/>
    <n v="128.69999999999999"/>
    <n v="57"/>
    <n v="5.79"/>
    <x v="50"/>
    <x v="1"/>
    <x v="50"/>
    <x v="0"/>
    <x v="0"/>
  </r>
  <r>
    <s v="CT"/>
    <x v="9"/>
    <s v="area_code_510"/>
    <x v="0"/>
    <x v="1"/>
    <n v="0"/>
    <n v="203.8"/>
    <n v="77"/>
    <n v="34.65"/>
    <n v="205.1"/>
    <n v="111"/>
    <n v="17.43"/>
    <n v="154.9"/>
    <n v="109"/>
    <n v="6.97"/>
    <x v="62"/>
    <x v="5"/>
    <x v="62"/>
    <x v="0"/>
    <x v="0"/>
  </r>
  <r>
    <s v="ME"/>
    <x v="88"/>
    <s v="area_code_408"/>
    <x v="0"/>
    <x v="0"/>
    <n v="33"/>
    <n v="241.7"/>
    <n v="84"/>
    <n v="41.09"/>
    <n v="165.8"/>
    <n v="84"/>
    <n v="14.09"/>
    <n v="160.6"/>
    <n v="80"/>
    <n v="7.23"/>
    <x v="61"/>
    <x v="0"/>
    <x v="61"/>
    <x v="0"/>
    <x v="0"/>
  </r>
  <r>
    <s v="MD"/>
    <x v="82"/>
    <s v="area_code_510"/>
    <x v="0"/>
    <x v="1"/>
    <n v="0"/>
    <n v="78.099999999999994"/>
    <n v="70"/>
    <n v="13.28"/>
    <n v="239.3"/>
    <n v="115"/>
    <n v="20.34"/>
    <n v="144.4"/>
    <n v="112"/>
    <n v="6.5"/>
    <x v="10"/>
    <x v="4"/>
    <x v="10"/>
    <x v="0"/>
    <x v="0"/>
  </r>
  <r>
    <s v="NC"/>
    <x v="15"/>
    <s v="area_code_408"/>
    <x v="0"/>
    <x v="1"/>
    <n v="0"/>
    <n v="187.8"/>
    <n v="95"/>
    <n v="31.93"/>
    <n v="149.19999999999999"/>
    <n v="143"/>
    <n v="12.68"/>
    <n v="201.4"/>
    <n v="113"/>
    <n v="9.06"/>
    <x v="34"/>
    <x v="4"/>
    <x v="34"/>
    <x v="2"/>
    <x v="0"/>
  </r>
  <r>
    <s v="SC"/>
    <x v="18"/>
    <s v="area_code_415"/>
    <x v="0"/>
    <x v="0"/>
    <n v="21"/>
    <n v="127.1"/>
    <n v="94"/>
    <n v="21.61"/>
    <n v="228.3"/>
    <n v="116"/>
    <n v="19.41"/>
    <n v="166.7"/>
    <n v="108"/>
    <n v="7.5"/>
    <x v="5"/>
    <x v="0"/>
    <x v="5"/>
    <x v="0"/>
    <x v="0"/>
  </r>
  <r>
    <s v="CA"/>
    <x v="2"/>
    <s v="area_code_415"/>
    <x v="0"/>
    <x v="1"/>
    <n v="0"/>
    <n v="280"/>
    <n v="113"/>
    <n v="47.6"/>
    <n v="202.2"/>
    <n v="90"/>
    <n v="17.190000000000001"/>
    <n v="156.80000000000001"/>
    <n v="103"/>
    <n v="7.06"/>
    <x v="91"/>
    <x v="4"/>
    <x v="91"/>
    <x v="1"/>
    <x v="1"/>
  </r>
  <r>
    <s v="LA"/>
    <x v="3"/>
    <s v="area_code_510"/>
    <x v="1"/>
    <x v="1"/>
    <n v="0"/>
    <n v="153.19999999999999"/>
    <n v="78"/>
    <n v="26.04"/>
    <n v="210.8"/>
    <n v="99"/>
    <n v="17.920000000000002"/>
    <n v="153.5"/>
    <n v="100"/>
    <n v="6.91"/>
    <x v="35"/>
    <x v="0"/>
    <x v="35"/>
    <x v="0"/>
    <x v="0"/>
  </r>
  <r>
    <s v="WI"/>
    <x v="113"/>
    <s v="area_code_415"/>
    <x v="0"/>
    <x v="0"/>
    <n v="26"/>
    <n v="137.1"/>
    <n v="88"/>
    <n v="23.31"/>
    <n v="155.69999999999999"/>
    <n v="125"/>
    <n v="13.23"/>
    <n v="247.6"/>
    <n v="94"/>
    <n v="11.14"/>
    <x v="73"/>
    <x v="2"/>
    <x v="73"/>
    <x v="2"/>
    <x v="0"/>
  </r>
  <r>
    <s v="IL"/>
    <x v="144"/>
    <s v="area_code_510"/>
    <x v="1"/>
    <x v="1"/>
    <n v="0"/>
    <n v="186.1"/>
    <n v="114"/>
    <n v="31.64"/>
    <n v="198.6"/>
    <n v="140"/>
    <n v="16.88"/>
    <n v="206.5"/>
    <n v="80"/>
    <n v="9.2899999999999991"/>
    <x v="12"/>
    <x v="1"/>
    <x v="12"/>
    <x v="4"/>
    <x v="1"/>
  </r>
  <r>
    <s v="IN"/>
    <x v="142"/>
    <s v="area_code_415"/>
    <x v="0"/>
    <x v="0"/>
    <n v="22"/>
    <n v="224.1"/>
    <n v="127"/>
    <n v="38.1"/>
    <n v="238.8"/>
    <n v="85"/>
    <n v="20.3"/>
    <n v="174.2"/>
    <n v="86"/>
    <n v="7.84"/>
    <x v="73"/>
    <x v="2"/>
    <x v="73"/>
    <x v="2"/>
    <x v="0"/>
  </r>
  <r>
    <s v="AL"/>
    <x v="96"/>
    <s v="area_code_408"/>
    <x v="0"/>
    <x v="0"/>
    <n v="29"/>
    <n v="83.6"/>
    <n v="131"/>
    <n v="14.21"/>
    <n v="203.9"/>
    <n v="131"/>
    <n v="17.329999999999998"/>
    <n v="229.5"/>
    <n v="73"/>
    <n v="10.33"/>
    <x v="111"/>
    <x v="0"/>
    <x v="111"/>
    <x v="0"/>
    <x v="0"/>
  </r>
  <r>
    <s v="OK"/>
    <x v="161"/>
    <s v="area_code_408"/>
    <x v="0"/>
    <x v="1"/>
    <n v="0"/>
    <n v="203.9"/>
    <n v="109"/>
    <n v="34.659999999999997"/>
    <n v="234"/>
    <n v="123"/>
    <n v="19.89"/>
    <n v="160.69999999999999"/>
    <n v="65"/>
    <n v="7.23"/>
    <x v="160"/>
    <x v="4"/>
    <x v="160"/>
    <x v="4"/>
    <x v="0"/>
  </r>
  <r>
    <s v="IA"/>
    <x v="107"/>
    <s v="area_code_415"/>
    <x v="0"/>
    <x v="1"/>
    <n v="0"/>
    <n v="211.3"/>
    <n v="87"/>
    <n v="35.92"/>
    <n v="165.7"/>
    <n v="97"/>
    <n v="14.08"/>
    <n v="265.89999999999998"/>
    <n v="72"/>
    <n v="11.97"/>
    <x v="64"/>
    <x v="3"/>
    <x v="64"/>
    <x v="0"/>
    <x v="0"/>
  </r>
  <r>
    <s v="VT"/>
    <x v="108"/>
    <s v="area_code_408"/>
    <x v="1"/>
    <x v="1"/>
    <n v="0"/>
    <n v="219.4"/>
    <n v="112"/>
    <n v="37.299999999999997"/>
    <n v="225.7"/>
    <n v="102"/>
    <n v="19.18"/>
    <n v="255.3"/>
    <n v="95"/>
    <n v="11.49"/>
    <x v="42"/>
    <x v="4"/>
    <x v="42"/>
    <x v="4"/>
    <x v="0"/>
  </r>
  <r>
    <s v="NY"/>
    <x v="60"/>
    <s v="area_code_415"/>
    <x v="0"/>
    <x v="1"/>
    <n v="0"/>
    <n v="190.4"/>
    <n v="91"/>
    <n v="32.369999999999997"/>
    <n v="92"/>
    <n v="107"/>
    <n v="7.82"/>
    <n v="224.8"/>
    <n v="108"/>
    <n v="10.119999999999999"/>
    <x v="109"/>
    <x v="20"/>
    <x v="109"/>
    <x v="2"/>
    <x v="0"/>
  </r>
  <r>
    <s v="LA"/>
    <x v="59"/>
    <s v="area_code_415"/>
    <x v="0"/>
    <x v="1"/>
    <n v="0"/>
    <n v="147.69999999999999"/>
    <n v="94"/>
    <n v="25.11"/>
    <n v="283.3"/>
    <n v="83"/>
    <n v="24.08"/>
    <n v="188.3"/>
    <n v="124"/>
    <n v="8.4700000000000006"/>
    <x v="72"/>
    <x v="1"/>
    <x v="72"/>
    <x v="2"/>
    <x v="0"/>
  </r>
  <r>
    <s v="SC"/>
    <x v="177"/>
    <s v="area_code_408"/>
    <x v="0"/>
    <x v="1"/>
    <n v="0"/>
    <n v="229.9"/>
    <n v="130"/>
    <n v="39.08"/>
    <n v="144.4"/>
    <n v="93"/>
    <n v="12.27"/>
    <n v="262.39999999999998"/>
    <n v="110"/>
    <n v="11.81"/>
    <x v="66"/>
    <x v="4"/>
    <x v="66"/>
    <x v="2"/>
    <x v="0"/>
  </r>
  <r>
    <s v="ID"/>
    <x v="76"/>
    <s v="area_code_408"/>
    <x v="0"/>
    <x v="1"/>
    <n v="0"/>
    <n v="102.8"/>
    <n v="128"/>
    <n v="17.48"/>
    <n v="143.69999999999999"/>
    <n v="95"/>
    <n v="12.21"/>
    <n v="191.4"/>
    <n v="97"/>
    <n v="8.61"/>
    <x v="13"/>
    <x v="1"/>
    <x v="13"/>
    <x v="0"/>
    <x v="0"/>
  </r>
  <r>
    <s v="MO"/>
    <x v="121"/>
    <s v="area_code_415"/>
    <x v="0"/>
    <x v="1"/>
    <n v="0"/>
    <n v="178.7"/>
    <n v="81"/>
    <n v="30.38"/>
    <n v="233.7"/>
    <n v="74"/>
    <n v="19.86"/>
    <n v="131.9"/>
    <n v="120"/>
    <n v="5.94"/>
    <x v="9"/>
    <x v="4"/>
    <x v="9"/>
    <x v="0"/>
    <x v="0"/>
  </r>
  <r>
    <s v="ME"/>
    <x v="44"/>
    <s v="area_code_415"/>
    <x v="0"/>
    <x v="0"/>
    <n v="18"/>
    <n v="148.5"/>
    <n v="106"/>
    <n v="25.25"/>
    <n v="114.5"/>
    <n v="106"/>
    <n v="9.73"/>
    <n v="178.3"/>
    <n v="98"/>
    <n v="8.02"/>
    <x v="94"/>
    <x v="4"/>
    <x v="94"/>
    <x v="1"/>
    <x v="0"/>
  </r>
  <r>
    <s v="MS"/>
    <x v="78"/>
    <s v="area_code_510"/>
    <x v="0"/>
    <x v="0"/>
    <n v="29"/>
    <n v="164.1"/>
    <n v="111"/>
    <n v="27.9"/>
    <n v="219.1"/>
    <n v="96"/>
    <n v="18.62"/>
    <n v="220.3"/>
    <n v="108"/>
    <n v="9.91"/>
    <x v="10"/>
    <x v="6"/>
    <x v="10"/>
    <x v="1"/>
    <x v="0"/>
  </r>
  <r>
    <s v="SD"/>
    <x v="74"/>
    <s v="area_code_415"/>
    <x v="1"/>
    <x v="1"/>
    <n v="0"/>
    <n v="197.2"/>
    <n v="90"/>
    <n v="33.520000000000003"/>
    <n v="188.5"/>
    <n v="113"/>
    <n v="16.02"/>
    <n v="211.1"/>
    <n v="94"/>
    <n v="9.5"/>
    <x v="35"/>
    <x v="10"/>
    <x v="35"/>
    <x v="0"/>
    <x v="0"/>
  </r>
  <r>
    <s v="GA"/>
    <x v="66"/>
    <s v="area_code_510"/>
    <x v="1"/>
    <x v="1"/>
    <n v="0"/>
    <n v="140"/>
    <n v="101"/>
    <n v="23.8"/>
    <n v="196.4"/>
    <n v="77"/>
    <n v="16.690000000000001"/>
    <n v="120.1"/>
    <n v="133"/>
    <n v="5.4"/>
    <x v="84"/>
    <x v="4"/>
    <x v="84"/>
    <x v="4"/>
    <x v="1"/>
  </r>
  <r>
    <s v="VT"/>
    <x v="37"/>
    <s v="area_code_415"/>
    <x v="0"/>
    <x v="1"/>
    <n v="0"/>
    <n v="193.9"/>
    <n v="118"/>
    <n v="32.96"/>
    <n v="85"/>
    <n v="110"/>
    <n v="7.23"/>
    <n v="210.1"/>
    <n v="134"/>
    <n v="9.4499999999999993"/>
    <x v="32"/>
    <x v="10"/>
    <x v="32"/>
    <x v="3"/>
    <x v="0"/>
  </r>
  <r>
    <s v="MD"/>
    <x v="86"/>
    <s v="area_code_408"/>
    <x v="0"/>
    <x v="1"/>
    <n v="0"/>
    <n v="321.10000000000002"/>
    <n v="105"/>
    <n v="54.59"/>
    <n v="265.5"/>
    <n v="122"/>
    <n v="22.57"/>
    <n v="180.5"/>
    <n v="72"/>
    <n v="8.1199999999999992"/>
    <x v="73"/>
    <x v="5"/>
    <x v="73"/>
    <x v="4"/>
    <x v="1"/>
  </r>
  <r>
    <s v="IN"/>
    <x v="6"/>
    <s v="area_code_415"/>
    <x v="0"/>
    <x v="1"/>
    <n v="0"/>
    <n v="118.4"/>
    <n v="126"/>
    <n v="20.13"/>
    <n v="249.3"/>
    <n v="97"/>
    <n v="21.19"/>
    <n v="227"/>
    <n v="56"/>
    <n v="10.220000000000001"/>
    <x v="109"/>
    <x v="0"/>
    <x v="109"/>
    <x v="5"/>
    <x v="1"/>
  </r>
  <r>
    <s v="WV"/>
    <x v="135"/>
    <s v="area_code_415"/>
    <x v="0"/>
    <x v="1"/>
    <n v="0"/>
    <n v="169.8"/>
    <n v="114"/>
    <n v="28.87"/>
    <n v="197.7"/>
    <n v="105"/>
    <n v="16.8"/>
    <n v="193.7"/>
    <n v="82"/>
    <n v="8.7200000000000006"/>
    <x v="43"/>
    <x v="4"/>
    <x v="43"/>
    <x v="0"/>
    <x v="0"/>
  </r>
  <r>
    <s v="OH"/>
    <x v="26"/>
    <s v="area_code_408"/>
    <x v="0"/>
    <x v="1"/>
    <n v="0"/>
    <n v="193.4"/>
    <n v="99"/>
    <n v="32.880000000000003"/>
    <n v="116.9"/>
    <n v="88"/>
    <n v="9.94"/>
    <n v="243.3"/>
    <n v="109"/>
    <n v="10.95"/>
    <x v="38"/>
    <x v="4"/>
    <x v="38"/>
    <x v="2"/>
    <x v="0"/>
  </r>
  <r>
    <s v="OH"/>
    <x v="39"/>
    <s v="area_code_415"/>
    <x v="0"/>
    <x v="1"/>
    <n v="0"/>
    <n v="106.6"/>
    <n v="128"/>
    <n v="18.12"/>
    <n v="284.8"/>
    <n v="87"/>
    <n v="24.21"/>
    <n v="178.9"/>
    <n v="92"/>
    <n v="8.0500000000000007"/>
    <x v="130"/>
    <x v="2"/>
    <x v="130"/>
    <x v="0"/>
    <x v="0"/>
  </r>
  <r>
    <s v="SC"/>
    <x v="134"/>
    <s v="area_code_415"/>
    <x v="0"/>
    <x v="1"/>
    <n v="0"/>
    <n v="134.69999999999999"/>
    <n v="98"/>
    <n v="22.9"/>
    <n v="189.7"/>
    <n v="68"/>
    <n v="16.12"/>
    <n v="221.4"/>
    <n v="128"/>
    <n v="9.9600000000000009"/>
    <x v="23"/>
    <x v="1"/>
    <x v="23"/>
    <x v="2"/>
    <x v="0"/>
  </r>
  <r>
    <s v="AZ"/>
    <x v="192"/>
    <s v="area_code_415"/>
    <x v="0"/>
    <x v="0"/>
    <n v="36"/>
    <n v="156.19999999999999"/>
    <n v="77"/>
    <n v="26.55"/>
    <n v="215.5"/>
    <n v="126"/>
    <n v="18.32"/>
    <n v="279.10000000000002"/>
    <n v="83"/>
    <n v="12.56"/>
    <x v="79"/>
    <x v="3"/>
    <x v="79"/>
    <x v="2"/>
    <x v="0"/>
  </r>
  <r>
    <s v="WV"/>
    <x v="90"/>
    <s v="area_code_415"/>
    <x v="0"/>
    <x v="1"/>
    <n v="0"/>
    <n v="231.1"/>
    <n v="57"/>
    <n v="39.29"/>
    <n v="153.4"/>
    <n v="55"/>
    <n v="13.04"/>
    <n v="191.3"/>
    <n v="123"/>
    <n v="8.61"/>
    <x v="63"/>
    <x v="4"/>
    <x v="63"/>
    <x v="3"/>
    <x v="0"/>
  </r>
  <r>
    <s v="RI"/>
    <x v="159"/>
    <s v="area_code_510"/>
    <x v="0"/>
    <x v="1"/>
    <n v="0"/>
    <n v="180.8"/>
    <n v="109"/>
    <n v="30.74"/>
    <n v="288.8"/>
    <n v="58"/>
    <n v="24.55"/>
    <n v="191.9"/>
    <n v="91"/>
    <n v="8.64"/>
    <x v="71"/>
    <x v="3"/>
    <x v="71"/>
    <x v="2"/>
    <x v="0"/>
  </r>
  <r>
    <s v="CT"/>
    <x v="205"/>
    <s v="area_code_510"/>
    <x v="1"/>
    <x v="1"/>
    <n v="0"/>
    <n v="213.8"/>
    <n v="105"/>
    <n v="36.35"/>
    <n v="159.6"/>
    <n v="84"/>
    <n v="13.57"/>
    <n v="139.19999999999999"/>
    <n v="137"/>
    <n v="6.26"/>
    <x v="105"/>
    <x v="11"/>
    <x v="105"/>
    <x v="2"/>
    <x v="0"/>
  </r>
  <r>
    <s v="TN"/>
    <x v="9"/>
    <s v="area_code_415"/>
    <x v="0"/>
    <x v="0"/>
    <n v="25"/>
    <n v="234.4"/>
    <n v="113"/>
    <n v="39.85"/>
    <n v="265.89999999999998"/>
    <n v="82"/>
    <n v="22.6"/>
    <n v="241.4"/>
    <n v="77"/>
    <n v="10.86"/>
    <x v="0"/>
    <x v="4"/>
    <x v="0"/>
    <x v="1"/>
    <x v="0"/>
  </r>
  <r>
    <s v="MT"/>
    <x v="1"/>
    <s v="area_code_510"/>
    <x v="0"/>
    <x v="1"/>
    <n v="0"/>
    <n v="223.6"/>
    <n v="86"/>
    <n v="38.01"/>
    <n v="244.8"/>
    <n v="139"/>
    <n v="20.81"/>
    <n v="94.2"/>
    <n v="81"/>
    <n v="4.24"/>
    <x v="17"/>
    <x v="2"/>
    <x v="17"/>
    <x v="1"/>
    <x v="0"/>
  </r>
  <r>
    <s v="OH"/>
    <x v="78"/>
    <s v="area_code_408"/>
    <x v="0"/>
    <x v="0"/>
    <n v="29"/>
    <n v="294.7"/>
    <n v="95"/>
    <n v="50.1"/>
    <n v="237.3"/>
    <n v="105"/>
    <n v="20.170000000000002"/>
    <n v="300.3"/>
    <n v="127"/>
    <n v="13.51"/>
    <x v="0"/>
    <x v="3"/>
    <x v="0"/>
    <x v="0"/>
    <x v="0"/>
  </r>
  <r>
    <s v="NM"/>
    <x v="63"/>
    <s v="area_code_415"/>
    <x v="0"/>
    <x v="1"/>
    <n v="0"/>
    <n v="216.8"/>
    <n v="123"/>
    <n v="36.86"/>
    <n v="126.4"/>
    <n v="88"/>
    <n v="10.74"/>
    <n v="220.6"/>
    <n v="82"/>
    <n v="9.93"/>
    <x v="135"/>
    <x v="5"/>
    <x v="135"/>
    <x v="0"/>
    <x v="0"/>
  </r>
  <r>
    <s v="SC"/>
    <x v="65"/>
    <s v="area_code_415"/>
    <x v="0"/>
    <x v="1"/>
    <n v="0"/>
    <n v="197.4"/>
    <n v="78"/>
    <n v="33.56"/>
    <n v="124"/>
    <n v="101"/>
    <n v="10.54"/>
    <n v="204.5"/>
    <n v="107"/>
    <n v="9.1999999999999993"/>
    <x v="18"/>
    <x v="4"/>
    <x v="18"/>
    <x v="2"/>
    <x v="0"/>
  </r>
  <r>
    <s v="IA"/>
    <x v="6"/>
    <s v="area_code_415"/>
    <x v="0"/>
    <x v="1"/>
    <n v="0"/>
    <n v="226.5"/>
    <n v="85"/>
    <n v="38.51"/>
    <n v="141.6"/>
    <n v="68"/>
    <n v="12.04"/>
    <n v="223"/>
    <n v="90"/>
    <n v="10.039999999999999"/>
    <x v="72"/>
    <x v="1"/>
    <x v="72"/>
    <x v="0"/>
    <x v="0"/>
  </r>
  <r>
    <s v="ND"/>
    <x v="69"/>
    <s v="area_code_415"/>
    <x v="0"/>
    <x v="0"/>
    <n v="32"/>
    <n v="218.9"/>
    <n v="124"/>
    <n v="37.21"/>
    <n v="214.3"/>
    <n v="125"/>
    <n v="18.22"/>
    <n v="260.3"/>
    <n v="120"/>
    <n v="11.71"/>
    <x v="89"/>
    <x v="0"/>
    <x v="89"/>
    <x v="0"/>
    <x v="0"/>
  </r>
  <r>
    <s v="MO"/>
    <x v="51"/>
    <s v="area_code_510"/>
    <x v="0"/>
    <x v="1"/>
    <n v="0"/>
    <n v="89.1"/>
    <n v="117"/>
    <n v="15.15"/>
    <n v="126.8"/>
    <n v="46"/>
    <n v="10.78"/>
    <n v="190.5"/>
    <n v="71"/>
    <n v="8.57"/>
    <x v="79"/>
    <x v="4"/>
    <x v="79"/>
    <x v="2"/>
    <x v="0"/>
  </r>
  <r>
    <s v="TX"/>
    <x v="59"/>
    <s v="area_code_415"/>
    <x v="0"/>
    <x v="0"/>
    <n v="43"/>
    <n v="177.8"/>
    <n v="100"/>
    <n v="30.23"/>
    <n v="147.30000000000001"/>
    <n v="89"/>
    <n v="12.52"/>
    <n v="194.2"/>
    <n v="92"/>
    <n v="8.74"/>
    <x v="78"/>
    <x v="8"/>
    <x v="78"/>
    <x v="1"/>
    <x v="0"/>
  </r>
  <r>
    <s v="TX"/>
    <x v="141"/>
    <s v="area_code_415"/>
    <x v="0"/>
    <x v="1"/>
    <n v="0"/>
    <n v="93.2"/>
    <n v="109"/>
    <n v="15.84"/>
    <n v="197.6"/>
    <n v="116"/>
    <n v="16.8"/>
    <n v="219.8"/>
    <n v="94"/>
    <n v="9.89"/>
    <x v="26"/>
    <x v="5"/>
    <x v="26"/>
    <x v="0"/>
    <x v="0"/>
  </r>
  <r>
    <s v="ME"/>
    <x v="147"/>
    <s v="area_code_415"/>
    <x v="0"/>
    <x v="1"/>
    <n v="0"/>
    <n v="228.1"/>
    <n v="86"/>
    <n v="38.78"/>
    <n v="156"/>
    <n v="97"/>
    <n v="13.26"/>
    <n v="227.9"/>
    <n v="124"/>
    <n v="10.26"/>
    <x v="15"/>
    <x v="6"/>
    <x v="15"/>
    <x v="0"/>
    <x v="0"/>
  </r>
  <r>
    <s v="MN"/>
    <x v="39"/>
    <s v="area_code_408"/>
    <x v="0"/>
    <x v="1"/>
    <n v="0"/>
    <n v="208.1"/>
    <n v="93"/>
    <n v="35.380000000000003"/>
    <n v="189.2"/>
    <n v="107"/>
    <n v="16.079999999999998"/>
    <n v="279.60000000000002"/>
    <n v="90"/>
    <n v="12.58"/>
    <x v="33"/>
    <x v="5"/>
    <x v="33"/>
    <x v="0"/>
    <x v="0"/>
  </r>
  <r>
    <s v="KS"/>
    <x v="176"/>
    <s v="area_code_415"/>
    <x v="0"/>
    <x v="0"/>
    <n v="22"/>
    <n v="112.8"/>
    <n v="66"/>
    <n v="19.18"/>
    <n v="232.6"/>
    <n v="100"/>
    <n v="19.77"/>
    <n v="194.8"/>
    <n v="119"/>
    <n v="8.77"/>
    <x v="108"/>
    <x v="0"/>
    <x v="108"/>
    <x v="0"/>
    <x v="0"/>
  </r>
  <r>
    <s v="MN"/>
    <x v="3"/>
    <s v="area_code_415"/>
    <x v="0"/>
    <x v="1"/>
    <n v="0"/>
    <n v="225.3"/>
    <n v="124"/>
    <n v="38.299999999999997"/>
    <n v="228"/>
    <n v="81"/>
    <n v="19.38"/>
    <n v="254.3"/>
    <n v="106"/>
    <n v="11.44"/>
    <x v="50"/>
    <x v="0"/>
    <x v="50"/>
    <x v="0"/>
    <x v="0"/>
  </r>
  <r>
    <s v="NC"/>
    <x v="96"/>
    <s v="area_code_415"/>
    <x v="0"/>
    <x v="0"/>
    <n v="25"/>
    <n v="169.4"/>
    <n v="105"/>
    <n v="28.8"/>
    <n v="240.5"/>
    <n v="108"/>
    <n v="20.440000000000001"/>
    <n v="159.4"/>
    <n v="114"/>
    <n v="7.17"/>
    <x v="55"/>
    <x v="1"/>
    <x v="55"/>
    <x v="4"/>
    <x v="0"/>
  </r>
  <r>
    <s v="HI"/>
    <x v="124"/>
    <s v="area_code_510"/>
    <x v="0"/>
    <x v="1"/>
    <n v="0"/>
    <n v="193.3"/>
    <n v="121"/>
    <n v="32.86"/>
    <n v="208.1"/>
    <n v="97"/>
    <n v="17.690000000000001"/>
    <n v="228.1"/>
    <n v="99"/>
    <n v="10.26"/>
    <x v="5"/>
    <x v="6"/>
    <x v="5"/>
    <x v="0"/>
    <x v="0"/>
  </r>
  <r>
    <s v="CO"/>
    <x v="147"/>
    <s v="area_code_510"/>
    <x v="0"/>
    <x v="1"/>
    <n v="0"/>
    <n v="95.6"/>
    <n v="88"/>
    <n v="16.25"/>
    <n v="167.6"/>
    <n v="106"/>
    <n v="14.25"/>
    <n v="177.3"/>
    <n v="95"/>
    <n v="7.98"/>
    <x v="52"/>
    <x v="5"/>
    <x v="52"/>
    <x v="3"/>
    <x v="0"/>
  </r>
  <r>
    <s v="TN"/>
    <x v="73"/>
    <s v="area_code_510"/>
    <x v="0"/>
    <x v="0"/>
    <n v="25"/>
    <n v="79.8"/>
    <n v="99"/>
    <n v="13.57"/>
    <n v="313.60000000000002"/>
    <n v="120"/>
    <n v="26.66"/>
    <n v="135.5"/>
    <n v="104"/>
    <n v="6.1"/>
    <x v="38"/>
    <x v="10"/>
    <x v="38"/>
    <x v="2"/>
    <x v="0"/>
  </r>
  <r>
    <s v="OH"/>
    <x v="155"/>
    <s v="area_code_415"/>
    <x v="0"/>
    <x v="1"/>
    <n v="0"/>
    <n v="229.2"/>
    <n v="111"/>
    <n v="38.96"/>
    <n v="165.3"/>
    <n v="104"/>
    <n v="14.05"/>
    <n v="235.1"/>
    <n v="80"/>
    <n v="10.58"/>
    <x v="133"/>
    <x v="1"/>
    <x v="133"/>
    <x v="0"/>
    <x v="0"/>
  </r>
  <r>
    <s v="OR"/>
    <x v="6"/>
    <s v="area_code_415"/>
    <x v="0"/>
    <x v="0"/>
    <n v="38"/>
    <n v="259.3"/>
    <n v="94"/>
    <n v="44.08"/>
    <n v="245.6"/>
    <n v="71"/>
    <n v="20.88"/>
    <n v="269.3"/>
    <n v="125"/>
    <n v="12.12"/>
    <x v="29"/>
    <x v="8"/>
    <x v="29"/>
    <x v="3"/>
    <x v="0"/>
  </r>
  <r>
    <s v="NE"/>
    <x v="14"/>
    <s v="area_code_415"/>
    <x v="0"/>
    <x v="0"/>
    <n v="41"/>
    <n v="212.6"/>
    <n v="110"/>
    <n v="36.14"/>
    <n v="172.7"/>
    <n v="97"/>
    <n v="14.68"/>
    <n v="186.3"/>
    <n v="78"/>
    <n v="8.3800000000000008"/>
    <x v="3"/>
    <x v="1"/>
    <x v="3"/>
    <x v="1"/>
    <x v="0"/>
  </r>
  <r>
    <s v="ID"/>
    <x v="145"/>
    <s v="area_code_415"/>
    <x v="1"/>
    <x v="1"/>
    <n v="0"/>
    <n v="101"/>
    <n v="110"/>
    <n v="17.170000000000002"/>
    <n v="240"/>
    <n v="70"/>
    <n v="20.399999999999999"/>
    <n v="333.5"/>
    <n v="105"/>
    <n v="15.01"/>
    <x v="22"/>
    <x v="3"/>
    <x v="22"/>
    <x v="1"/>
    <x v="0"/>
  </r>
  <r>
    <s v="WY"/>
    <x v="85"/>
    <s v="area_code_415"/>
    <x v="1"/>
    <x v="0"/>
    <n v="6"/>
    <n v="140.1"/>
    <n v="125"/>
    <n v="23.82"/>
    <n v="157.9"/>
    <n v="100"/>
    <n v="13.42"/>
    <n v="249.4"/>
    <n v="96"/>
    <n v="11.22"/>
    <x v="3"/>
    <x v="0"/>
    <x v="3"/>
    <x v="0"/>
    <x v="0"/>
  </r>
  <r>
    <s v="MD"/>
    <x v="90"/>
    <s v="area_code_408"/>
    <x v="0"/>
    <x v="1"/>
    <n v="0"/>
    <n v="150.4"/>
    <n v="106"/>
    <n v="25.57"/>
    <n v="199"/>
    <n v="131"/>
    <n v="16.920000000000002"/>
    <n v="109.7"/>
    <n v="103"/>
    <n v="4.9400000000000004"/>
    <x v="10"/>
    <x v="0"/>
    <x v="10"/>
    <x v="3"/>
    <x v="0"/>
  </r>
  <r>
    <s v="AZ"/>
    <x v="35"/>
    <s v="area_code_415"/>
    <x v="0"/>
    <x v="1"/>
    <n v="0"/>
    <n v="100.8"/>
    <n v="74"/>
    <n v="17.14"/>
    <n v="233.8"/>
    <n v="88"/>
    <n v="19.87"/>
    <n v="208.7"/>
    <n v="79"/>
    <n v="9.39"/>
    <x v="44"/>
    <x v="0"/>
    <x v="44"/>
    <x v="2"/>
    <x v="0"/>
  </r>
  <r>
    <s v="IA"/>
    <x v="73"/>
    <s v="area_code_415"/>
    <x v="0"/>
    <x v="1"/>
    <n v="0"/>
    <n v="138.1"/>
    <n v="131"/>
    <n v="23.48"/>
    <n v="175.7"/>
    <n v="128"/>
    <n v="14.93"/>
    <n v="192.7"/>
    <n v="119"/>
    <n v="8.67"/>
    <x v="13"/>
    <x v="0"/>
    <x v="13"/>
    <x v="3"/>
    <x v="0"/>
  </r>
  <r>
    <s v="KS"/>
    <x v="53"/>
    <s v="area_code_415"/>
    <x v="0"/>
    <x v="0"/>
    <n v="30"/>
    <n v="191.3"/>
    <n v="104"/>
    <n v="32.520000000000003"/>
    <n v="257.10000000000002"/>
    <n v="109"/>
    <n v="21.85"/>
    <n v="177.7"/>
    <n v="89"/>
    <n v="8"/>
    <x v="34"/>
    <x v="8"/>
    <x v="34"/>
    <x v="0"/>
    <x v="0"/>
  </r>
  <r>
    <s v="MS"/>
    <x v="145"/>
    <s v="area_code_510"/>
    <x v="0"/>
    <x v="1"/>
    <n v="0"/>
    <n v="168.3"/>
    <n v="76"/>
    <n v="28.61"/>
    <n v="212.4"/>
    <n v="126"/>
    <n v="18.05"/>
    <n v="200.2"/>
    <n v="132"/>
    <n v="9.01"/>
    <x v="42"/>
    <x v="0"/>
    <x v="42"/>
    <x v="2"/>
    <x v="0"/>
  </r>
  <r>
    <s v="CA"/>
    <x v="15"/>
    <s v="area_code_415"/>
    <x v="0"/>
    <x v="1"/>
    <n v="0"/>
    <n v="137.6"/>
    <n v="113"/>
    <n v="23.39"/>
    <n v="179.7"/>
    <n v="75"/>
    <n v="15.27"/>
    <n v="172.8"/>
    <n v="71"/>
    <n v="7.78"/>
    <x v="85"/>
    <x v="5"/>
    <x v="85"/>
    <x v="0"/>
    <x v="1"/>
  </r>
  <r>
    <s v="OH"/>
    <x v="21"/>
    <s v="area_code_415"/>
    <x v="0"/>
    <x v="1"/>
    <n v="0"/>
    <n v="255.4"/>
    <n v="122"/>
    <n v="43.42"/>
    <n v="22.3"/>
    <n v="87"/>
    <n v="1.9"/>
    <n v="152.6"/>
    <n v="72"/>
    <n v="6.87"/>
    <x v="22"/>
    <x v="3"/>
    <x v="22"/>
    <x v="1"/>
    <x v="0"/>
  </r>
  <r>
    <s v="NE"/>
    <x v="12"/>
    <s v="area_code_415"/>
    <x v="0"/>
    <x v="1"/>
    <n v="0"/>
    <n v="166.2"/>
    <n v="125"/>
    <n v="28.25"/>
    <n v="279.39999999999998"/>
    <n v="78"/>
    <n v="23.75"/>
    <n v="181"/>
    <n v="85"/>
    <n v="8.15"/>
    <x v="83"/>
    <x v="3"/>
    <x v="83"/>
    <x v="0"/>
    <x v="0"/>
  </r>
  <r>
    <s v="CA"/>
    <x v="41"/>
    <s v="area_code_510"/>
    <x v="1"/>
    <x v="1"/>
    <n v="0"/>
    <n v="158.69999999999999"/>
    <n v="112"/>
    <n v="26.98"/>
    <n v="155.69999999999999"/>
    <n v="126"/>
    <n v="13.23"/>
    <n v="246"/>
    <n v="110"/>
    <n v="11.07"/>
    <x v="24"/>
    <x v="8"/>
    <x v="24"/>
    <x v="2"/>
    <x v="1"/>
  </r>
  <r>
    <s v="OR"/>
    <x v="136"/>
    <s v="area_code_415"/>
    <x v="0"/>
    <x v="1"/>
    <n v="0"/>
    <n v="258.3"/>
    <n v="76"/>
    <n v="43.91"/>
    <n v="306"/>
    <n v="88"/>
    <n v="26.01"/>
    <n v="241.8"/>
    <n v="106"/>
    <n v="10.88"/>
    <x v="109"/>
    <x v="4"/>
    <x v="109"/>
    <x v="0"/>
    <x v="1"/>
  </r>
  <r>
    <s v="MT"/>
    <x v="155"/>
    <s v="area_code_510"/>
    <x v="0"/>
    <x v="0"/>
    <n v="40"/>
    <n v="77"/>
    <n v="106"/>
    <n v="13.09"/>
    <n v="161.69999999999999"/>
    <n v="94"/>
    <n v="13.74"/>
    <n v="188.6"/>
    <n v="82"/>
    <n v="8.49"/>
    <x v="60"/>
    <x v="3"/>
    <x v="60"/>
    <x v="0"/>
    <x v="0"/>
  </r>
  <r>
    <s v="WI"/>
    <x v="7"/>
    <s v="area_code_415"/>
    <x v="0"/>
    <x v="0"/>
    <n v="33"/>
    <n v="168.4"/>
    <n v="127"/>
    <n v="28.63"/>
    <n v="185.1"/>
    <n v="106"/>
    <n v="15.73"/>
    <n v="220"/>
    <n v="78"/>
    <n v="9.9"/>
    <x v="34"/>
    <x v="4"/>
    <x v="34"/>
    <x v="2"/>
    <x v="0"/>
  </r>
  <r>
    <s v="SD"/>
    <x v="28"/>
    <s v="area_code_415"/>
    <x v="0"/>
    <x v="1"/>
    <n v="0"/>
    <n v="307.2"/>
    <n v="65"/>
    <n v="52.22"/>
    <n v="138.6"/>
    <n v="97"/>
    <n v="11.78"/>
    <n v="381.6"/>
    <n v="99"/>
    <n v="17.170000000000002"/>
    <x v="39"/>
    <x v="4"/>
    <x v="39"/>
    <x v="2"/>
    <x v="1"/>
  </r>
  <r>
    <s v="OH"/>
    <x v="77"/>
    <s v="area_code_510"/>
    <x v="0"/>
    <x v="1"/>
    <n v="0"/>
    <n v="175.6"/>
    <n v="91"/>
    <n v="29.85"/>
    <n v="236.5"/>
    <n v="127"/>
    <n v="20.100000000000001"/>
    <n v="194.9"/>
    <n v="114"/>
    <n v="8.77"/>
    <x v="17"/>
    <x v="10"/>
    <x v="17"/>
    <x v="1"/>
    <x v="0"/>
  </r>
  <r>
    <s v="ME"/>
    <x v="58"/>
    <s v="area_code_415"/>
    <x v="0"/>
    <x v="1"/>
    <n v="0"/>
    <n v="169.1"/>
    <n v="48"/>
    <n v="28.75"/>
    <n v="219.8"/>
    <n v="62"/>
    <n v="18.68"/>
    <n v="193.5"/>
    <n v="105"/>
    <n v="8.7100000000000009"/>
    <x v="85"/>
    <x v="10"/>
    <x v="85"/>
    <x v="3"/>
    <x v="0"/>
  </r>
  <r>
    <s v="NM"/>
    <x v="145"/>
    <s v="area_code_415"/>
    <x v="0"/>
    <x v="1"/>
    <n v="0"/>
    <n v="190.7"/>
    <n v="111"/>
    <n v="32.42"/>
    <n v="241.6"/>
    <n v="103"/>
    <n v="20.54"/>
    <n v="278.10000000000002"/>
    <n v="95"/>
    <n v="12.51"/>
    <x v="59"/>
    <x v="0"/>
    <x v="59"/>
    <x v="0"/>
    <x v="0"/>
  </r>
  <r>
    <s v="WV"/>
    <x v="103"/>
    <s v="area_code_415"/>
    <x v="0"/>
    <x v="1"/>
    <n v="0"/>
    <n v="239.6"/>
    <n v="120"/>
    <n v="40.729999999999997"/>
    <n v="230.3"/>
    <n v="110"/>
    <n v="19.579999999999998"/>
    <n v="153"/>
    <n v="82"/>
    <n v="6.89"/>
    <x v="53"/>
    <x v="0"/>
    <x v="53"/>
    <x v="0"/>
    <x v="0"/>
  </r>
  <r>
    <s v="MN"/>
    <x v="134"/>
    <s v="area_code_510"/>
    <x v="0"/>
    <x v="1"/>
    <n v="0"/>
    <n v="121.3"/>
    <n v="112"/>
    <n v="20.62"/>
    <n v="282.8"/>
    <n v="107"/>
    <n v="24.04"/>
    <n v="123.1"/>
    <n v="83"/>
    <n v="5.54"/>
    <x v="33"/>
    <x v="4"/>
    <x v="33"/>
    <x v="0"/>
    <x v="0"/>
  </r>
  <r>
    <s v="MI"/>
    <x v="72"/>
    <s v="area_code_408"/>
    <x v="0"/>
    <x v="1"/>
    <n v="0"/>
    <n v="208.4"/>
    <n v="102"/>
    <n v="35.43"/>
    <n v="326.10000000000002"/>
    <n v="96"/>
    <n v="27.72"/>
    <n v="201.9"/>
    <n v="73"/>
    <n v="9.09"/>
    <x v="3"/>
    <x v="10"/>
    <x v="3"/>
    <x v="0"/>
    <x v="1"/>
  </r>
  <r>
    <s v="CO"/>
    <x v="35"/>
    <s v="area_code_510"/>
    <x v="1"/>
    <x v="1"/>
    <n v="0"/>
    <n v="230.6"/>
    <n v="131"/>
    <n v="39.200000000000003"/>
    <n v="261.3"/>
    <n v="136"/>
    <n v="22.21"/>
    <n v="157.1"/>
    <n v="96"/>
    <n v="7.07"/>
    <x v="36"/>
    <x v="4"/>
    <x v="36"/>
    <x v="1"/>
    <x v="0"/>
  </r>
  <r>
    <s v="HI"/>
    <x v="69"/>
    <s v="area_code_415"/>
    <x v="0"/>
    <x v="1"/>
    <n v="0"/>
    <n v="112.5"/>
    <n v="95"/>
    <n v="19.13"/>
    <n v="211.2"/>
    <n v="67"/>
    <n v="17.95"/>
    <n v="227.5"/>
    <n v="96"/>
    <n v="10.24"/>
    <x v="22"/>
    <x v="10"/>
    <x v="22"/>
    <x v="1"/>
    <x v="0"/>
  </r>
  <r>
    <s v="VT"/>
    <x v="102"/>
    <s v="area_code_510"/>
    <x v="0"/>
    <x v="1"/>
    <n v="0"/>
    <n v="167.7"/>
    <n v="93"/>
    <n v="28.51"/>
    <n v="234.1"/>
    <n v="103"/>
    <n v="19.899999999999999"/>
    <n v="169.7"/>
    <n v="121"/>
    <n v="7.64"/>
    <x v="72"/>
    <x v="1"/>
    <x v="72"/>
    <x v="3"/>
    <x v="0"/>
  </r>
  <r>
    <s v="OR"/>
    <x v="135"/>
    <s v="area_code_408"/>
    <x v="0"/>
    <x v="1"/>
    <n v="0"/>
    <n v="180.1"/>
    <n v="103"/>
    <n v="30.62"/>
    <n v="193.4"/>
    <n v="148"/>
    <n v="16.440000000000001"/>
    <n v="251.2"/>
    <n v="109"/>
    <n v="11.3"/>
    <x v="83"/>
    <x v="1"/>
    <x v="83"/>
    <x v="1"/>
    <x v="0"/>
  </r>
  <r>
    <s v="NM"/>
    <x v="82"/>
    <s v="area_code_510"/>
    <x v="0"/>
    <x v="1"/>
    <n v="0"/>
    <n v="129.6"/>
    <n v="81"/>
    <n v="22.03"/>
    <n v="189.7"/>
    <n v="117"/>
    <n v="16.12"/>
    <n v="219"/>
    <n v="118"/>
    <n v="9.86"/>
    <x v="52"/>
    <x v="4"/>
    <x v="52"/>
    <x v="2"/>
    <x v="0"/>
  </r>
  <r>
    <s v="SD"/>
    <x v="67"/>
    <s v="area_code_510"/>
    <x v="0"/>
    <x v="1"/>
    <n v="0"/>
    <n v="215.5"/>
    <n v="108"/>
    <n v="36.64"/>
    <n v="230.9"/>
    <n v="70"/>
    <n v="19.63"/>
    <n v="144.1"/>
    <n v="134"/>
    <n v="6.48"/>
    <x v="32"/>
    <x v="4"/>
    <x v="32"/>
    <x v="1"/>
    <x v="0"/>
  </r>
  <r>
    <s v="UT"/>
    <x v="28"/>
    <s v="area_code_415"/>
    <x v="0"/>
    <x v="1"/>
    <n v="0"/>
    <n v="211.9"/>
    <n v="65"/>
    <n v="36.020000000000003"/>
    <n v="224.6"/>
    <n v="95"/>
    <n v="19.09"/>
    <n v="233"/>
    <n v="81"/>
    <n v="10.49"/>
    <x v="79"/>
    <x v="0"/>
    <x v="79"/>
    <x v="2"/>
    <x v="0"/>
  </r>
  <r>
    <s v="NJ"/>
    <x v="74"/>
    <s v="area_code_415"/>
    <x v="0"/>
    <x v="1"/>
    <n v="0"/>
    <n v="82"/>
    <n v="95"/>
    <n v="13.94"/>
    <n v="125.2"/>
    <n v="103"/>
    <n v="10.64"/>
    <n v="171.3"/>
    <n v="107"/>
    <n v="7.71"/>
    <x v="40"/>
    <x v="4"/>
    <x v="40"/>
    <x v="0"/>
    <x v="0"/>
  </r>
  <r>
    <s v="MA"/>
    <x v="162"/>
    <s v="area_code_408"/>
    <x v="0"/>
    <x v="0"/>
    <n v="22"/>
    <n v="149.1"/>
    <n v="103"/>
    <n v="25.35"/>
    <n v="207.2"/>
    <n v="91"/>
    <n v="17.61"/>
    <n v="265.39999999999998"/>
    <n v="92"/>
    <n v="11.94"/>
    <x v="37"/>
    <x v="2"/>
    <x v="37"/>
    <x v="2"/>
    <x v="0"/>
  </r>
  <r>
    <s v="NV"/>
    <x v="18"/>
    <s v="area_code_415"/>
    <x v="0"/>
    <x v="1"/>
    <n v="0"/>
    <n v="304.60000000000002"/>
    <n v="56"/>
    <n v="51.78"/>
    <n v="157.6"/>
    <n v="101"/>
    <n v="13.4"/>
    <n v="188.2"/>
    <n v="116"/>
    <n v="8.4700000000000006"/>
    <x v="70"/>
    <x v="8"/>
    <x v="70"/>
    <x v="0"/>
    <x v="1"/>
  </r>
  <r>
    <s v="TN"/>
    <x v="74"/>
    <s v="area_code_510"/>
    <x v="0"/>
    <x v="1"/>
    <n v="0"/>
    <n v="277.7"/>
    <n v="118"/>
    <n v="47.21"/>
    <n v="115.3"/>
    <n v="91"/>
    <n v="9.8000000000000007"/>
    <n v="170.3"/>
    <n v="90"/>
    <n v="7.66"/>
    <x v="91"/>
    <x v="10"/>
    <x v="91"/>
    <x v="1"/>
    <x v="0"/>
  </r>
  <r>
    <s v="LA"/>
    <x v="13"/>
    <s v="area_code_408"/>
    <x v="0"/>
    <x v="1"/>
    <n v="0"/>
    <n v="209.1"/>
    <n v="57"/>
    <n v="35.549999999999997"/>
    <n v="110.7"/>
    <n v="111"/>
    <n v="9.41"/>
    <n v="113.3"/>
    <n v="113"/>
    <n v="5.0999999999999996"/>
    <x v="75"/>
    <x v="4"/>
    <x v="75"/>
    <x v="0"/>
    <x v="0"/>
  </r>
  <r>
    <s v="FL"/>
    <x v="151"/>
    <s v="area_code_415"/>
    <x v="0"/>
    <x v="1"/>
    <n v="0"/>
    <n v="196.1"/>
    <n v="95"/>
    <n v="33.340000000000003"/>
    <n v="228.3"/>
    <n v="88"/>
    <n v="19.41"/>
    <n v="243.6"/>
    <n v="95"/>
    <n v="10.96"/>
    <x v="98"/>
    <x v="0"/>
    <x v="98"/>
    <x v="3"/>
    <x v="0"/>
  </r>
  <r>
    <s v="FL"/>
    <x v="129"/>
    <s v="area_code_510"/>
    <x v="0"/>
    <x v="1"/>
    <n v="0"/>
    <n v="121.6"/>
    <n v="99"/>
    <n v="20.67"/>
    <n v="267.60000000000002"/>
    <n v="99"/>
    <n v="22.75"/>
    <n v="99.7"/>
    <n v="88"/>
    <n v="4.49"/>
    <x v="5"/>
    <x v="5"/>
    <x v="5"/>
    <x v="0"/>
    <x v="0"/>
  </r>
  <r>
    <s v="SC"/>
    <x v="2"/>
    <s v="area_code_415"/>
    <x v="0"/>
    <x v="1"/>
    <n v="0"/>
    <n v="204.1"/>
    <n v="132"/>
    <n v="34.700000000000003"/>
    <n v="164.4"/>
    <n v="117"/>
    <n v="13.97"/>
    <n v="165.1"/>
    <n v="123"/>
    <n v="7.43"/>
    <x v="77"/>
    <x v="13"/>
    <x v="77"/>
    <x v="0"/>
    <x v="0"/>
  </r>
  <r>
    <s v="ID"/>
    <x v="144"/>
    <s v="area_code_415"/>
    <x v="0"/>
    <x v="1"/>
    <n v="0"/>
    <n v="212.1"/>
    <n v="114"/>
    <n v="36.06"/>
    <n v="235.9"/>
    <n v="91"/>
    <n v="20.05"/>
    <n v="207.7"/>
    <n v="135"/>
    <n v="9.35"/>
    <x v="61"/>
    <x v="1"/>
    <x v="61"/>
    <x v="4"/>
    <x v="0"/>
  </r>
  <r>
    <s v="WY"/>
    <x v="113"/>
    <s v="area_code_415"/>
    <x v="0"/>
    <x v="1"/>
    <n v="0"/>
    <n v="178.3"/>
    <n v="86"/>
    <n v="30.31"/>
    <n v="176.5"/>
    <n v="99"/>
    <n v="15"/>
    <n v="187.1"/>
    <n v="83"/>
    <n v="8.42"/>
    <x v="12"/>
    <x v="5"/>
    <x v="12"/>
    <x v="0"/>
    <x v="0"/>
  </r>
  <r>
    <s v="NE"/>
    <x v="29"/>
    <s v="area_code_415"/>
    <x v="0"/>
    <x v="1"/>
    <n v="0"/>
    <n v="181.8"/>
    <n v="92"/>
    <n v="30.91"/>
    <n v="159.6"/>
    <n v="63"/>
    <n v="13.57"/>
    <n v="232.4"/>
    <n v="78"/>
    <n v="10.46"/>
    <x v="99"/>
    <x v="3"/>
    <x v="99"/>
    <x v="1"/>
    <x v="0"/>
  </r>
  <r>
    <s v="CO"/>
    <x v="67"/>
    <s v="area_code_415"/>
    <x v="0"/>
    <x v="1"/>
    <n v="0"/>
    <n v="120.6"/>
    <n v="104"/>
    <n v="20.5"/>
    <n v="205.5"/>
    <n v="95"/>
    <n v="17.47"/>
    <n v="182.5"/>
    <n v="107"/>
    <n v="8.2100000000000009"/>
    <x v="63"/>
    <x v="3"/>
    <x v="63"/>
    <x v="2"/>
    <x v="0"/>
  </r>
  <r>
    <s v="VA"/>
    <x v="55"/>
    <s v="area_code_415"/>
    <x v="0"/>
    <x v="1"/>
    <n v="0"/>
    <n v="172.4"/>
    <n v="112"/>
    <n v="29.31"/>
    <n v="131.69999999999999"/>
    <n v="89"/>
    <n v="11.19"/>
    <n v="182.8"/>
    <n v="78"/>
    <n v="8.23"/>
    <x v="82"/>
    <x v="6"/>
    <x v="82"/>
    <x v="0"/>
    <x v="0"/>
  </r>
  <r>
    <s v="WV"/>
    <x v="32"/>
    <s v="area_code_415"/>
    <x v="0"/>
    <x v="1"/>
    <n v="0"/>
    <n v="160.6"/>
    <n v="110"/>
    <n v="27.3"/>
    <n v="171.9"/>
    <n v="97"/>
    <n v="14.61"/>
    <n v="105.2"/>
    <n v="56"/>
    <n v="4.7300000000000004"/>
    <x v="48"/>
    <x v="5"/>
    <x v="48"/>
    <x v="1"/>
    <x v="1"/>
  </r>
  <r>
    <s v="AZ"/>
    <x v="14"/>
    <s v="area_code_408"/>
    <x v="0"/>
    <x v="0"/>
    <n v="12"/>
    <n v="98.4"/>
    <n v="100"/>
    <n v="16.73"/>
    <n v="187.5"/>
    <n v="119"/>
    <n v="15.94"/>
    <n v="177"/>
    <n v="68"/>
    <n v="7.97"/>
    <x v="127"/>
    <x v="0"/>
    <x v="127"/>
    <x v="0"/>
    <x v="0"/>
  </r>
  <r>
    <s v="KS"/>
    <x v="126"/>
    <s v="area_code_415"/>
    <x v="0"/>
    <x v="1"/>
    <n v="0"/>
    <n v="109"/>
    <n v="126"/>
    <n v="18.53"/>
    <n v="212.7"/>
    <n v="106"/>
    <n v="18.079999999999998"/>
    <n v="208.3"/>
    <n v="92"/>
    <n v="9.3699999999999992"/>
    <x v="57"/>
    <x v="0"/>
    <x v="57"/>
    <x v="0"/>
    <x v="0"/>
  </r>
  <r>
    <s v="SD"/>
    <x v="1"/>
    <s v="area_code_415"/>
    <x v="0"/>
    <x v="1"/>
    <n v="0"/>
    <n v="144.5"/>
    <n v="119"/>
    <n v="24.57"/>
    <n v="167.3"/>
    <n v="89"/>
    <n v="14.22"/>
    <n v="175.1"/>
    <n v="76"/>
    <n v="7.88"/>
    <x v="49"/>
    <x v="4"/>
    <x v="49"/>
    <x v="5"/>
    <x v="1"/>
  </r>
  <r>
    <s v="ID"/>
    <x v="141"/>
    <s v="area_code_510"/>
    <x v="0"/>
    <x v="1"/>
    <n v="0"/>
    <n v="193.1"/>
    <n v="82"/>
    <n v="32.83"/>
    <n v="260.3"/>
    <n v="107"/>
    <n v="22.13"/>
    <n v="241.3"/>
    <n v="93"/>
    <n v="10.86"/>
    <x v="64"/>
    <x v="1"/>
    <x v="64"/>
    <x v="2"/>
    <x v="0"/>
  </r>
  <r>
    <s v="TX"/>
    <x v="96"/>
    <s v="area_code_415"/>
    <x v="0"/>
    <x v="1"/>
    <n v="0"/>
    <n v="182.8"/>
    <n v="96"/>
    <n v="31.08"/>
    <n v="193.7"/>
    <n v="93"/>
    <n v="16.46"/>
    <n v="219.5"/>
    <n v="113"/>
    <n v="9.8800000000000008"/>
    <x v="18"/>
    <x v="5"/>
    <x v="18"/>
    <x v="2"/>
    <x v="0"/>
  </r>
  <r>
    <s v="SD"/>
    <x v="123"/>
    <s v="area_code_510"/>
    <x v="0"/>
    <x v="0"/>
    <n v="32"/>
    <n v="148.4"/>
    <n v="86"/>
    <n v="25.23"/>
    <n v="170.6"/>
    <n v="119"/>
    <n v="14.5"/>
    <n v="201.5"/>
    <n v="124"/>
    <n v="9.07"/>
    <x v="61"/>
    <x v="14"/>
    <x v="61"/>
    <x v="0"/>
    <x v="0"/>
  </r>
  <r>
    <s v="TN"/>
    <x v="1"/>
    <s v="area_code_408"/>
    <x v="0"/>
    <x v="1"/>
    <n v="0"/>
    <n v="75.8"/>
    <n v="107"/>
    <n v="12.89"/>
    <n v="256.89999999999998"/>
    <n v="98"/>
    <n v="21.84"/>
    <n v="204.4"/>
    <n v="118"/>
    <n v="9.1999999999999993"/>
    <x v="26"/>
    <x v="0"/>
    <x v="26"/>
    <x v="2"/>
    <x v="0"/>
  </r>
  <r>
    <s v="TN"/>
    <x v="12"/>
    <s v="area_code_415"/>
    <x v="0"/>
    <x v="1"/>
    <n v="0"/>
    <n v="198"/>
    <n v="90"/>
    <n v="33.659999999999997"/>
    <n v="186.4"/>
    <n v="102"/>
    <n v="15.84"/>
    <n v="219.2"/>
    <n v="90"/>
    <n v="9.86"/>
    <x v="38"/>
    <x v="5"/>
    <x v="38"/>
    <x v="0"/>
    <x v="0"/>
  </r>
  <r>
    <s v="DE"/>
    <x v="64"/>
    <s v="area_code_415"/>
    <x v="0"/>
    <x v="1"/>
    <n v="0"/>
    <n v="253.2"/>
    <n v="95"/>
    <n v="43.04"/>
    <n v="210.8"/>
    <n v="86"/>
    <n v="17.920000000000002"/>
    <n v="253.9"/>
    <n v="81"/>
    <n v="11.43"/>
    <x v="17"/>
    <x v="4"/>
    <x v="17"/>
    <x v="5"/>
    <x v="1"/>
  </r>
  <r>
    <s v="TN"/>
    <x v="209"/>
    <s v="area_code_510"/>
    <x v="0"/>
    <x v="0"/>
    <n v="25"/>
    <n v="199.9"/>
    <n v="64"/>
    <n v="33.979999999999997"/>
    <n v="134.6"/>
    <n v="110"/>
    <n v="11.44"/>
    <n v="210.4"/>
    <n v="78"/>
    <n v="9.4700000000000006"/>
    <x v="50"/>
    <x v="3"/>
    <x v="50"/>
    <x v="3"/>
    <x v="0"/>
  </r>
  <r>
    <s v="OR"/>
    <x v="147"/>
    <s v="area_code_415"/>
    <x v="0"/>
    <x v="0"/>
    <n v="25"/>
    <n v="187.5"/>
    <n v="105"/>
    <n v="31.88"/>
    <n v="272.3"/>
    <n v="88"/>
    <n v="23.15"/>
    <n v="216.4"/>
    <n v="91"/>
    <n v="9.74"/>
    <x v="50"/>
    <x v="5"/>
    <x v="50"/>
    <x v="2"/>
    <x v="0"/>
  </r>
  <r>
    <s v="IA"/>
    <x v="55"/>
    <s v="area_code_408"/>
    <x v="0"/>
    <x v="1"/>
    <n v="0"/>
    <n v="183.6"/>
    <n v="111"/>
    <n v="31.21"/>
    <n v="303.5"/>
    <n v="88"/>
    <n v="25.8"/>
    <n v="189.8"/>
    <n v="115"/>
    <n v="8.5399999999999991"/>
    <x v="19"/>
    <x v="3"/>
    <x v="19"/>
    <x v="1"/>
    <x v="0"/>
  </r>
  <r>
    <s v="MI"/>
    <x v="108"/>
    <s v="area_code_510"/>
    <x v="0"/>
    <x v="0"/>
    <n v="21"/>
    <n v="86.1"/>
    <n v="95"/>
    <n v="14.64"/>
    <n v="189.9"/>
    <n v="126"/>
    <n v="16.14"/>
    <n v="201.3"/>
    <n v="113"/>
    <n v="9.06"/>
    <x v="50"/>
    <x v="4"/>
    <x v="50"/>
    <x v="1"/>
    <x v="0"/>
  </r>
  <r>
    <s v="AR"/>
    <x v="107"/>
    <s v="area_code_408"/>
    <x v="0"/>
    <x v="1"/>
    <n v="0"/>
    <n v="126.8"/>
    <n v="83"/>
    <n v="21.56"/>
    <n v="157.80000000000001"/>
    <n v="100"/>
    <n v="13.41"/>
    <n v="158.30000000000001"/>
    <n v="97"/>
    <n v="7.12"/>
    <x v="34"/>
    <x v="4"/>
    <x v="34"/>
    <x v="3"/>
    <x v="0"/>
  </r>
  <r>
    <s v="TN"/>
    <x v="113"/>
    <s v="area_code_415"/>
    <x v="0"/>
    <x v="1"/>
    <n v="0"/>
    <n v="108.3"/>
    <n v="95"/>
    <n v="18.41"/>
    <n v="168.3"/>
    <n v="104"/>
    <n v="14.31"/>
    <n v="153.1"/>
    <n v="109"/>
    <n v="6.89"/>
    <x v="9"/>
    <x v="5"/>
    <x v="9"/>
    <x v="0"/>
    <x v="0"/>
  </r>
  <r>
    <s v="WV"/>
    <x v="47"/>
    <s v="area_code_408"/>
    <x v="1"/>
    <x v="1"/>
    <n v="0"/>
    <n v="160.5"/>
    <n v="92"/>
    <n v="27.29"/>
    <n v="235.8"/>
    <n v="121"/>
    <n v="20.04"/>
    <n v="111.8"/>
    <n v="95"/>
    <n v="5.03"/>
    <x v="12"/>
    <x v="1"/>
    <x v="12"/>
    <x v="0"/>
    <x v="1"/>
  </r>
  <r>
    <s v="IL"/>
    <x v="78"/>
    <s v="area_code_408"/>
    <x v="0"/>
    <x v="1"/>
    <n v="0"/>
    <n v="147.30000000000001"/>
    <n v="81"/>
    <n v="25.04"/>
    <n v="158.4"/>
    <n v="88"/>
    <n v="13.46"/>
    <n v="193.8"/>
    <n v="103"/>
    <n v="8.7200000000000006"/>
    <x v="34"/>
    <x v="0"/>
    <x v="34"/>
    <x v="2"/>
    <x v="0"/>
  </r>
  <r>
    <s v="DE"/>
    <x v="20"/>
    <s v="area_code_510"/>
    <x v="0"/>
    <x v="1"/>
    <n v="0"/>
    <n v="165.1"/>
    <n v="91"/>
    <n v="28.07"/>
    <n v="240.8"/>
    <n v="56"/>
    <n v="20.47"/>
    <n v="277"/>
    <n v="100"/>
    <n v="12.47"/>
    <x v="17"/>
    <x v="0"/>
    <x v="17"/>
    <x v="2"/>
    <x v="0"/>
  </r>
  <r>
    <s v="NC"/>
    <x v="36"/>
    <s v="area_code_408"/>
    <x v="0"/>
    <x v="0"/>
    <n v="31"/>
    <n v="122.2"/>
    <n v="88"/>
    <n v="20.77"/>
    <n v="139"/>
    <n v="100"/>
    <n v="11.82"/>
    <n v="141.9"/>
    <n v="141"/>
    <n v="6.39"/>
    <x v="16"/>
    <x v="11"/>
    <x v="16"/>
    <x v="3"/>
    <x v="0"/>
  </r>
  <r>
    <s v="IA"/>
    <x v="9"/>
    <s v="area_code_408"/>
    <x v="0"/>
    <x v="1"/>
    <n v="0"/>
    <n v="156.30000000000001"/>
    <n v="102"/>
    <n v="26.57"/>
    <n v="273.10000000000002"/>
    <n v="118"/>
    <n v="23.21"/>
    <n v="215.8"/>
    <n v="113"/>
    <n v="9.7100000000000009"/>
    <x v="62"/>
    <x v="4"/>
    <x v="62"/>
    <x v="3"/>
    <x v="0"/>
  </r>
  <r>
    <s v="AL"/>
    <x v="9"/>
    <s v="area_code_408"/>
    <x v="0"/>
    <x v="0"/>
    <n v="46"/>
    <n v="277.7"/>
    <n v="109"/>
    <n v="47.21"/>
    <n v="270"/>
    <n v="114"/>
    <n v="22.95"/>
    <n v="165.3"/>
    <n v="82"/>
    <n v="7.44"/>
    <x v="91"/>
    <x v="5"/>
    <x v="91"/>
    <x v="0"/>
    <x v="0"/>
  </r>
  <r>
    <s v="HI"/>
    <x v="46"/>
    <s v="area_code_415"/>
    <x v="1"/>
    <x v="0"/>
    <n v="21"/>
    <n v="147.4"/>
    <n v="117"/>
    <n v="25.06"/>
    <n v="262.8"/>
    <n v="110"/>
    <n v="22.34"/>
    <n v="202"/>
    <n v="97"/>
    <n v="9.09"/>
    <x v="54"/>
    <x v="1"/>
    <x v="54"/>
    <x v="1"/>
    <x v="0"/>
  </r>
  <r>
    <s v="PA"/>
    <x v="82"/>
    <s v="area_code_415"/>
    <x v="0"/>
    <x v="1"/>
    <n v="0"/>
    <n v="228.4"/>
    <n v="113"/>
    <n v="38.83"/>
    <n v="163.30000000000001"/>
    <n v="103"/>
    <n v="13.88"/>
    <n v="248"/>
    <n v="114"/>
    <n v="11.16"/>
    <x v="35"/>
    <x v="3"/>
    <x v="35"/>
    <x v="0"/>
    <x v="0"/>
  </r>
  <r>
    <s v="RI"/>
    <x v="147"/>
    <s v="area_code_510"/>
    <x v="0"/>
    <x v="1"/>
    <n v="0"/>
    <n v="184.6"/>
    <n v="133"/>
    <n v="31.38"/>
    <n v="166.8"/>
    <n v="94"/>
    <n v="14.18"/>
    <n v="225.2"/>
    <n v="105"/>
    <n v="10.130000000000001"/>
    <x v="36"/>
    <x v="10"/>
    <x v="36"/>
    <x v="0"/>
    <x v="0"/>
  </r>
  <r>
    <s v="DC"/>
    <x v="134"/>
    <s v="area_code_408"/>
    <x v="0"/>
    <x v="0"/>
    <n v="25"/>
    <n v="219"/>
    <n v="95"/>
    <n v="37.229999999999997"/>
    <n v="241.9"/>
    <n v="95"/>
    <n v="20.56"/>
    <n v="203.4"/>
    <n v="102"/>
    <n v="9.15"/>
    <x v="113"/>
    <x v="1"/>
    <x v="113"/>
    <x v="4"/>
    <x v="0"/>
  </r>
  <r>
    <s v="TN"/>
    <x v="77"/>
    <s v="area_code_510"/>
    <x v="0"/>
    <x v="1"/>
    <n v="0"/>
    <n v="220.9"/>
    <n v="100"/>
    <n v="37.549999999999997"/>
    <n v="279.60000000000002"/>
    <n v="76"/>
    <n v="23.77"/>
    <n v="239.8"/>
    <n v="107"/>
    <n v="10.79"/>
    <x v="88"/>
    <x v="6"/>
    <x v="88"/>
    <x v="0"/>
    <x v="1"/>
  </r>
  <r>
    <s v="AL"/>
    <x v="155"/>
    <s v="area_code_408"/>
    <x v="0"/>
    <x v="0"/>
    <n v="27"/>
    <n v="188.4"/>
    <n v="104"/>
    <n v="32.03"/>
    <n v="320.60000000000002"/>
    <n v="128"/>
    <n v="27.25"/>
    <n v="161.69999999999999"/>
    <n v="120"/>
    <n v="7.28"/>
    <x v="84"/>
    <x v="2"/>
    <x v="84"/>
    <x v="0"/>
    <x v="0"/>
  </r>
  <r>
    <s v="IN"/>
    <x v="80"/>
    <s v="area_code_510"/>
    <x v="0"/>
    <x v="1"/>
    <n v="0"/>
    <n v="254.8"/>
    <n v="83"/>
    <n v="43.32"/>
    <n v="194"/>
    <n v="98"/>
    <n v="16.489999999999998"/>
    <n v="186.2"/>
    <n v="118"/>
    <n v="8.3800000000000008"/>
    <x v="88"/>
    <x v="5"/>
    <x v="88"/>
    <x v="4"/>
    <x v="0"/>
  </r>
  <r>
    <s v="UT"/>
    <x v="139"/>
    <s v="area_code_510"/>
    <x v="0"/>
    <x v="1"/>
    <n v="0"/>
    <n v="338.4"/>
    <n v="86"/>
    <n v="57.53"/>
    <n v="234.6"/>
    <n v="97"/>
    <n v="19.940000000000001"/>
    <n v="264.8"/>
    <n v="139"/>
    <n v="11.92"/>
    <x v="102"/>
    <x v="4"/>
    <x v="102"/>
    <x v="3"/>
    <x v="1"/>
  </r>
  <r>
    <s v="VA"/>
    <x v="100"/>
    <s v="area_code_415"/>
    <x v="0"/>
    <x v="1"/>
    <n v="0"/>
    <n v="143.1"/>
    <n v="114"/>
    <n v="24.33"/>
    <n v="138.1"/>
    <n v="119"/>
    <n v="11.74"/>
    <n v="199.4"/>
    <n v="100"/>
    <n v="8.9700000000000006"/>
    <x v="56"/>
    <x v="0"/>
    <x v="56"/>
    <x v="3"/>
    <x v="0"/>
  </r>
  <r>
    <s v="CT"/>
    <x v="37"/>
    <s v="area_code_415"/>
    <x v="0"/>
    <x v="0"/>
    <n v="20"/>
    <n v="118.3"/>
    <n v="113"/>
    <n v="20.11"/>
    <n v="253.8"/>
    <n v="97"/>
    <n v="21.57"/>
    <n v="172.8"/>
    <n v="78"/>
    <n v="7.78"/>
    <x v="27"/>
    <x v="4"/>
    <x v="27"/>
    <x v="0"/>
    <x v="0"/>
  </r>
  <r>
    <s v="PA"/>
    <x v="73"/>
    <s v="area_code_510"/>
    <x v="0"/>
    <x v="1"/>
    <n v="0"/>
    <n v="185.9"/>
    <n v="111"/>
    <n v="31.6"/>
    <n v="216.8"/>
    <n v="93"/>
    <n v="18.43"/>
    <n v="231"/>
    <n v="58"/>
    <n v="10.4"/>
    <x v="31"/>
    <x v="5"/>
    <x v="31"/>
    <x v="0"/>
    <x v="0"/>
  </r>
  <r>
    <s v="MI"/>
    <x v="36"/>
    <s v="area_code_510"/>
    <x v="0"/>
    <x v="1"/>
    <n v="0"/>
    <n v="219"/>
    <n v="100"/>
    <n v="37.229999999999997"/>
    <n v="148.9"/>
    <n v="110"/>
    <n v="12.66"/>
    <n v="151.80000000000001"/>
    <n v="129"/>
    <n v="6.83"/>
    <x v="78"/>
    <x v="10"/>
    <x v="78"/>
    <x v="3"/>
    <x v="0"/>
  </r>
  <r>
    <s v="NC"/>
    <x v="29"/>
    <s v="area_code_510"/>
    <x v="0"/>
    <x v="0"/>
    <n v="18"/>
    <n v="180.1"/>
    <n v="90"/>
    <n v="30.62"/>
    <n v="152.5"/>
    <n v="65"/>
    <n v="12.96"/>
    <n v="258.2"/>
    <n v="85"/>
    <n v="11.62"/>
    <x v="8"/>
    <x v="6"/>
    <x v="8"/>
    <x v="0"/>
    <x v="0"/>
  </r>
  <r>
    <s v="GA"/>
    <x v="0"/>
    <s v="area_code_408"/>
    <x v="0"/>
    <x v="1"/>
    <n v="0"/>
    <n v="114.9"/>
    <n v="119"/>
    <n v="19.53"/>
    <n v="239.7"/>
    <n v="91"/>
    <n v="20.37"/>
    <n v="165.3"/>
    <n v="112"/>
    <n v="7.44"/>
    <x v="44"/>
    <x v="1"/>
    <x v="44"/>
    <x v="2"/>
    <x v="0"/>
  </r>
  <r>
    <s v="PA"/>
    <x v="77"/>
    <s v="area_code_510"/>
    <x v="0"/>
    <x v="1"/>
    <n v="0"/>
    <n v="158.6"/>
    <n v="97"/>
    <n v="26.96"/>
    <n v="204.4"/>
    <n v="123"/>
    <n v="17.37"/>
    <n v="182.5"/>
    <n v="123"/>
    <n v="8.2100000000000009"/>
    <x v="61"/>
    <x v="0"/>
    <x v="61"/>
    <x v="2"/>
    <x v="0"/>
  </r>
  <r>
    <s v="DE"/>
    <x v="143"/>
    <s v="area_code_415"/>
    <x v="1"/>
    <x v="0"/>
    <n v="36"/>
    <n v="244.2"/>
    <n v="147"/>
    <n v="41.51"/>
    <n v="199.7"/>
    <n v="65"/>
    <n v="16.97"/>
    <n v="144.4"/>
    <n v="109"/>
    <n v="6.5"/>
    <x v="93"/>
    <x v="0"/>
    <x v="93"/>
    <x v="2"/>
    <x v="1"/>
  </r>
  <r>
    <s v="NY"/>
    <x v="53"/>
    <s v="area_code_415"/>
    <x v="0"/>
    <x v="1"/>
    <n v="0"/>
    <n v="180"/>
    <n v="58"/>
    <n v="30.6"/>
    <n v="229.4"/>
    <n v="88"/>
    <n v="19.5"/>
    <n v="162.19999999999999"/>
    <n v="110"/>
    <n v="7.3"/>
    <x v="32"/>
    <x v="6"/>
    <x v="32"/>
    <x v="0"/>
    <x v="0"/>
  </r>
  <r>
    <s v="NE"/>
    <x v="85"/>
    <s v="area_code_415"/>
    <x v="0"/>
    <x v="1"/>
    <n v="0"/>
    <n v="135.4"/>
    <n v="104"/>
    <n v="23.02"/>
    <n v="138.80000000000001"/>
    <n v="91"/>
    <n v="11.8"/>
    <n v="208.5"/>
    <n v="92"/>
    <n v="9.3800000000000008"/>
    <x v="11"/>
    <x v="0"/>
    <x v="11"/>
    <x v="0"/>
    <x v="0"/>
  </r>
  <r>
    <s v="ME"/>
    <x v="15"/>
    <s v="area_code_408"/>
    <x v="0"/>
    <x v="1"/>
    <n v="0"/>
    <n v="272.39999999999998"/>
    <n v="112"/>
    <n v="46.31"/>
    <n v="252.2"/>
    <n v="91"/>
    <n v="21.44"/>
    <n v="255.4"/>
    <n v="112"/>
    <n v="11.49"/>
    <x v="54"/>
    <x v="1"/>
    <x v="54"/>
    <x v="0"/>
    <x v="1"/>
  </r>
  <r>
    <s v="NJ"/>
    <x v="76"/>
    <s v="area_code_510"/>
    <x v="0"/>
    <x v="1"/>
    <n v="0"/>
    <n v="262.89999999999998"/>
    <n v="95"/>
    <n v="44.69"/>
    <n v="175.9"/>
    <n v="126"/>
    <n v="14.95"/>
    <n v="202.1"/>
    <n v="101"/>
    <n v="9.09"/>
    <x v="4"/>
    <x v="1"/>
    <x v="4"/>
    <x v="0"/>
    <x v="0"/>
  </r>
  <r>
    <s v="DE"/>
    <x v="134"/>
    <s v="area_code_415"/>
    <x v="0"/>
    <x v="1"/>
    <n v="0"/>
    <n v="66.7"/>
    <n v="124"/>
    <n v="11.34"/>
    <n v="204"/>
    <n v="91"/>
    <n v="17.34"/>
    <n v="254.7"/>
    <n v="110"/>
    <n v="11.46"/>
    <x v="127"/>
    <x v="5"/>
    <x v="127"/>
    <x v="0"/>
    <x v="0"/>
  </r>
  <r>
    <s v="CT"/>
    <x v="139"/>
    <s v="area_code_408"/>
    <x v="0"/>
    <x v="1"/>
    <n v="0"/>
    <n v="240.8"/>
    <n v="72"/>
    <n v="40.94"/>
    <n v="202.7"/>
    <n v="62"/>
    <n v="17.23"/>
    <n v="212.9"/>
    <n v="76"/>
    <n v="9.58"/>
    <x v="18"/>
    <x v="1"/>
    <x v="18"/>
    <x v="0"/>
    <x v="0"/>
  </r>
  <r>
    <s v="KY"/>
    <x v="152"/>
    <s v="area_code_415"/>
    <x v="0"/>
    <x v="0"/>
    <n v="40"/>
    <n v="158.30000000000001"/>
    <n v="90"/>
    <n v="26.91"/>
    <n v="213.2"/>
    <n v="71"/>
    <n v="18.12"/>
    <n v="123"/>
    <n v="132"/>
    <n v="5.54"/>
    <x v="100"/>
    <x v="5"/>
    <x v="100"/>
    <x v="2"/>
    <x v="0"/>
  </r>
  <r>
    <s v="CO"/>
    <x v="101"/>
    <s v="area_code_510"/>
    <x v="0"/>
    <x v="0"/>
    <n v="24"/>
    <n v="201.7"/>
    <n v="87"/>
    <n v="34.29"/>
    <n v="251.7"/>
    <n v="97"/>
    <n v="21.39"/>
    <n v="297.39999999999998"/>
    <n v="95"/>
    <n v="13.38"/>
    <x v="57"/>
    <x v="1"/>
    <x v="57"/>
    <x v="1"/>
    <x v="0"/>
  </r>
  <r>
    <s v="NH"/>
    <x v="88"/>
    <s v="area_code_510"/>
    <x v="0"/>
    <x v="1"/>
    <n v="0"/>
    <n v="168.8"/>
    <n v="102"/>
    <n v="28.7"/>
    <n v="248.1"/>
    <n v="125"/>
    <n v="21.09"/>
    <n v="250.7"/>
    <n v="96"/>
    <n v="11.28"/>
    <x v="15"/>
    <x v="4"/>
    <x v="15"/>
    <x v="0"/>
    <x v="0"/>
  </r>
  <r>
    <s v="MA"/>
    <x v="145"/>
    <s v="area_code_415"/>
    <x v="0"/>
    <x v="1"/>
    <n v="0"/>
    <n v="141.9"/>
    <n v="98"/>
    <n v="24.12"/>
    <n v="188.1"/>
    <n v="63"/>
    <n v="15.99"/>
    <n v="115.2"/>
    <n v="49"/>
    <n v="5.18"/>
    <x v="42"/>
    <x v="1"/>
    <x v="42"/>
    <x v="2"/>
    <x v="0"/>
  </r>
  <r>
    <s v="LA"/>
    <x v="39"/>
    <s v="area_code_510"/>
    <x v="0"/>
    <x v="1"/>
    <n v="0"/>
    <n v="182.6"/>
    <n v="75"/>
    <n v="31.04"/>
    <n v="188.6"/>
    <n v="67"/>
    <n v="16.03"/>
    <n v="137.69999999999999"/>
    <n v="81"/>
    <n v="6.2"/>
    <x v="17"/>
    <x v="0"/>
    <x v="17"/>
    <x v="5"/>
    <x v="1"/>
  </r>
  <r>
    <s v="IL"/>
    <x v="132"/>
    <s v="area_code_415"/>
    <x v="0"/>
    <x v="1"/>
    <n v="0"/>
    <n v="203.7"/>
    <n v="80"/>
    <n v="34.630000000000003"/>
    <n v="230.2"/>
    <n v="112"/>
    <n v="19.57"/>
    <n v="120.3"/>
    <n v="48"/>
    <n v="5.41"/>
    <x v="27"/>
    <x v="8"/>
    <x v="27"/>
    <x v="3"/>
    <x v="0"/>
  </r>
  <r>
    <s v="MI"/>
    <x v="118"/>
    <s v="area_code_415"/>
    <x v="0"/>
    <x v="1"/>
    <n v="0"/>
    <n v="191.6"/>
    <n v="53"/>
    <n v="32.57"/>
    <n v="104.6"/>
    <n v="104"/>
    <n v="8.89"/>
    <n v="195.8"/>
    <n v="125"/>
    <n v="8.81"/>
    <x v="85"/>
    <x v="6"/>
    <x v="85"/>
    <x v="3"/>
    <x v="0"/>
  </r>
  <r>
    <s v="IN"/>
    <x v="37"/>
    <s v="area_code_415"/>
    <x v="0"/>
    <x v="1"/>
    <n v="0"/>
    <n v="136.4"/>
    <n v="147"/>
    <n v="23.19"/>
    <n v="219.9"/>
    <n v="101"/>
    <n v="18.690000000000001"/>
    <n v="99.7"/>
    <n v="73"/>
    <n v="4.49"/>
    <x v="99"/>
    <x v="0"/>
    <x v="99"/>
    <x v="1"/>
    <x v="0"/>
  </r>
  <r>
    <s v="CO"/>
    <x v="53"/>
    <s v="area_code_415"/>
    <x v="0"/>
    <x v="0"/>
    <n v="30"/>
    <n v="168.2"/>
    <n v="103"/>
    <n v="28.59"/>
    <n v="220.9"/>
    <n v="75"/>
    <n v="18.78"/>
    <n v="224.3"/>
    <n v="105"/>
    <n v="10.09"/>
    <x v="45"/>
    <x v="5"/>
    <x v="45"/>
    <x v="1"/>
    <x v="0"/>
  </r>
  <r>
    <s v="TX"/>
    <x v="8"/>
    <s v="area_code_415"/>
    <x v="0"/>
    <x v="1"/>
    <n v="0"/>
    <n v="217.9"/>
    <n v="89"/>
    <n v="37.04"/>
    <n v="238.8"/>
    <n v="101"/>
    <n v="20.3"/>
    <n v="194.4"/>
    <n v="105"/>
    <n v="8.75"/>
    <x v="2"/>
    <x v="4"/>
    <x v="2"/>
    <x v="1"/>
    <x v="0"/>
  </r>
  <r>
    <s v="IA"/>
    <x v="67"/>
    <s v="area_code_408"/>
    <x v="0"/>
    <x v="1"/>
    <n v="0"/>
    <n v="198.1"/>
    <n v="93"/>
    <n v="33.68"/>
    <n v="236.1"/>
    <n v="95"/>
    <n v="20.07"/>
    <n v="127.3"/>
    <n v="121"/>
    <n v="5.73"/>
    <x v="44"/>
    <x v="4"/>
    <x v="44"/>
    <x v="2"/>
    <x v="0"/>
  </r>
  <r>
    <s v="UT"/>
    <x v="6"/>
    <s v="area_code_408"/>
    <x v="1"/>
    <x v="0"/>
    <n v="15"/>
    <n v="178.8"/>
    <n v="81"/>
    <n v="30.4"/>
    <n v="286.10000000000002"/>
    <n v="85"/>
    <n v="24.32"/>
    <n v="229.4"/>
    <n v="128"/>
    <n v="10.32"/>
    <x v="5"/>
    <x v="1"/>
    <x v="5"/>
    <x v="0"/>
    <x v="0"/>
  </r>
  <r>
    <s v="AL"/>
    <x v="39"/>
    <s v="area_code_415"/>
    <x v="0"/>
    <x v="0"/>
    <n v="18"/>
    <n v="262.89999999999998"/>
    <n v="57"/>
    <n v="44.69"/>
    <n v="190.2"/>
    <n v="107"/>
    <n v="16.170000000000002"/>
    <n v="293.5"/>
    <n v="103"/>
    <n v="13.21"/>
    <x v="23"/>
    <x v="4"/>
    <x v="23"/>
    <x v="3"/>
    <x v="0"/>
  </r>
  <r>
    <s v="NV"/>
    <x v="37"/>
    <s v="area_code_415"/>
    <x v="0"/>
    <x v="1"/>
    <n v="0"/>
    <n v="197"/>
    <n v="130"/>
    <n v="33.49"/>
    <n v="219.2"/>
    <n v="105"/>
    <n v="18.63"/>
    <n v="102.8"/>
    <n v="113"/>
    <n v="4.63"/>
    <x v="44"/>
    <x v="4"/>
    <x v="44"/>
    <x v="0"/>
    <x v="0"/>
  </r>
  <r>
    <s v="IA"/>
    <x v="68"/>
    <s v="area_code_510"/>
    <x v="0"/>
    <x v="1"/>
    <n v="0"/>
    <n v="102.9"/>
    <n v="94"/>
    <n v="17.489999999999998"/>
    <n v="229.1"/>
    <n v="96"/>
    <n v="19.47"/>
    <n v="198.7"/>
    <n v="129"/>
    <n v="8.94"/>
    <x v="109"/>
    <x v="5"/>
    <x v="109"/>
    <x v="0"/>
    <x v="0"/>
  </r>
  <r>
    <s v="UT"/>
    <x v="121"/>
    <s v="area_code_408"/>
    <x v="0"/>
    <x v="1"/>
    <n v="0"/>
    <n v="144.19999999999999"/>
    <n v="74"/>
    <n v="24.51"/>
    <n v="164.7"/>
    <n v="119"/>
    <n v="14"/>
    <n v="279.2"/>
    <n v="121"/>
    <n v="12.56"/>
    <x v="47"/>
    <x v="2"/>
    <x v="47"/>
    <x v="4"/>
    <x v="1"/>
  </r>
  <r>
    <s v="PA"/>
    <x v="75"/>
    <s v="area_code_415"/>
    <x v="0"/>
    <x v="1"/>
    <n v="0"/>
    <n v="139.80000000000001"/>
    <n v="109"/>
    <n v="23.77"/>
    <n v="157"/>
    <n v="91"/>
    <n v="13.35"/>
    <n v="218.6"/>
    <n v="122"/>
    <n v="9.84"/>
    <x v="109"/>
    <x v="4"/>
    <x v="109"/>
    <x v="3"/>
    <x v="0"/>
  </r>
  <r>
    <s v="VA"/>
    <x v="130"/>
    <s v="area_code_415"/>
    <x v="0"/>
    <x v="1"/>
    <n v="0"/>
    <n v="139.69999999999999"/>
    <n v="112"/>
    <n v="23.75"/>
    <n v="199.8"/>
    <n v="127"/>
    <n v="16.98"/>
    <n v="189.3"/>
    <n v="104"/>
    <n v="8.52"/>
    <x v="19"/>
    <x v="5"/>
    <x v="19"/>
    <x v="2"/>
    <x v="0"/>
  </r>
  <r>
    <s v="SC"/>
    <x v="46"/>
    <s v="area_code_415"/>
    <x v="0"/>
    <x v="1"/>
    <n v="0"/>
    <n v="309.39999999999998"/>
    <n v="86"/>
    <n v="52.6"/>
    <n v="271.3"/>
    <n v="98"/>
    <n v="23.06"/>
    <n v="197.1"/>
    <n v="116"/>
    <n v="8.8699999999999992"/>
    <x v="7"/>
    <x v="1"/>
    <x v="7"/>
    <x v="3"/>
    <x v="1"/>
  </r>
  <r>
    <s v="WV"/>
    <x v="12"/>
    <s v="area_code_415"/>
    <x v="0"/>
    <x v="1"/>
    <n v="0"/>
    <n v="159.6"/>
    <n v="102"/>
    <n v="27.13"/>
    <n v="212.6"/>
    <n v="119"/>
    <n v="18.07"/>
    <n v="151.4"/>
    <n v="83"/>
    <n v="6.81"/>
    <x v="44"/>
    <x v="2"/>
    <x v="44"/>
    <x v="5"/>
    <x v="1"/>
  </r>
  <r>
    <s v="KY"/>
    <x v="100"/>
    <s v="area_code_408"/>
    <x v="0"/>
    <x v="0"/>
    <n v="29"/>
    <n v="239.7"/>
    <n v="102"/>
    <n v="40.75"/>
    <n v="212.8"/>
    <n v="109"/>
    <n v="18.09"/>
    <n v="187.7"/>
    <n v="77"/>
    <n v="8.4499999999999993"/>
    <x v="26"/>
    <x v="5"/>
    <x v="26"/>
    <x v="0"/>
    <x v="0"/>
  </r>
  <r>
    <s v="DC"/>
    <x v="134"/>
    <s v="area_code_510"/>
    <x v="0"/>
    <x v="1"/>
    <n v="0"/>
    <n v="161.1"/>
    <n v="110"/>
    <n v="27.39"/>
    <n v="170.6"/>
    <n v="111"/>
    <n v="14.5"/>
    <n v="274.39999999999998"/>
    <n v="80"/>
    <n v="12.35"/>
    <x v="98"/>
    <x v="5"/>
    <x v="98"/>
    <x v="2"/>
    <x v="0"/>
  </r>
  <r>
    <s v="HI"/>
    <x v="12"/>
    <s v="area_code_408"/>
    <x v="0"/>
    <x v="1"/>
    <n v="0"/>
    <n v="165.4"/>
    <n v="88"/>
    <n v="28.12"/>
    <n v="209.7"/>
    <n v="111"/>
    <n v="17.82"/>
    <n v="270.7"/>
    <n v="129"/>
    <n v="12.18"/>
    <x v="26"/>
    <x v="0"/>
    <x v="26"/>
    <x v="4"/>
    <x v="0"/>
  </r>
  <r>
    <s v="MS"/>
    <x v="65"/>
    <s v="area_code_415"/>
    <x v="0"/>
    <x v="0"/>
    <n v="28"/>
    <n v="221.3"/>
    <n v="117"/>
    <n v="37.619999999999997"/>
    <n v="156"/>
    <n v="102"/>
    <n v="13.26"/>
    <n v="159.30000000000001"/>
    <n v="80"/>
    <n v="7.17"/>
    <x v="6"/>
    <x v="0"/>
    <x v="6"/>
    <x v="1"/>
    <x v="0"/>
  </r>
  <r>
    <s v="WV"/>
    <x v="155"/>
    <s v="area_code_415"/>
    <x v="1"/>
    <x v="1"/>
    <n v="0"/>
    <n v="176.8"/>
    <n v="89"/>
    <n v="30.06"/>
    <n v="196"/>
    <n v="89"/>
    <n v="16.66"/>
    <n v="232.6"/>
    <n v="151"/>
    <n v="10.47"/>
    <x v="67"/>
    <x v="1"/>
    <x v="67"/>
    <x v="0"/>
    <x v="1"/>
  </r>
  <r>
    <s v="NC"/>
    <x v="62"/>
    <s v="area_code_408"/>
    <x v="0"/>
    <x v="1"/>
    <n v="0"/>
    <n v="196"/>
    <n v="75"/>
    <n v="33.32"/>
    <n v="237.8"/>
    <n v="112"/>
    <n v="20.21"/>
    <n v="220.1"/>
    <n v="127"/>
    <n v="9.9"/>
    <x v="55"/>
    <x v="1"/>
    <x v="55"/>
    <x v="0"/>
    <x v="0"/>
  </r>
  <r>
    <s v="ME"/>
    <x v="117"/>
    <s v="area_code_415"/>
    <x v="0"/>
    <x v="1"/>
    <n v="0"/>
    <n v="174.3"/>
    <n v="113"/>
    <n v="29.63"/>
    <n v="200.7"/>
    <n v="107"/>
    <n v="17.059999999999999"/>
    <n v="281.2"/>
    <n v="145"/>
    <n v="12.65"/>
    <x v="43"/>
    <x v="0"/>
    <x v="43"/>
    <x v="4"/>
    <x v="0"/>
  </r>
  <r>
    <s v="WY"/>
    <x v="48"/>
    <s v="area_code_408"/>
    <x v="0"/>
    <x v="1"/>
    <n v="0"/>
    <n v="158.4"/>
    <n v="107"/>
    <n v="26.93"/>
    <n v="142.19999999999999"/>
    <n v="104"/>
    <n v="12.09"/>
    <n v="174.7"/>
    <n v="108"/>
    <n v="7.86"/>
    <x v="130"/>
    <x v="5"/>
    <x v="130"/>
    <x v="1"/>
    <x v="0"/>
  </r>
  <r>
    <s v="ME"/>
    <x v="186"/>
    <s v="area_code_415"/>
    <x v="0"/>
    <x v="0"/>
    <n v="38"/>
    <n v="149.4"/>
    <n v="93"/>
    <n v="25.4"/>
    <n v="189.8"/>
    <n v="96"/>
    <n v="16.13"/>
    <n v="127.4"/>
    <n v="71"/>
    <n v="5.73"/>
    <x v="120"/>
    <x v="0"/>
    <x v="120"/>
    <x v="0"/>
    <x v="0"/>
  </r>
  <r>
    <s v="KY"/>
    <x v="26"/>
    <s v="area_code_415"/>
    <x v="0"/>
    <x v="1"/>
    <n v="0"/>
    <n v="145.5"/>
    <n v="124"/>
    <n v="24.74"/>
    <n v="143.4"/>
    <n v="71"/>
    <n v="12.19"/>
    <n v="291.10000000000002"/>
    <n v="123"/>
    <n v="13.1"/>
    <x v="17"/>
    <x v="1"/>
    <x v="17"/>
    <x v="3"/>
    <x v="0"/>
  </r>
  <r>
    <s v="GA"/>
    <x v="64"/>
    <s v="area_code_510"/>
    <x v="0"/>
    <x v="1"/>
    <n v="0"/>
    <n v="147.69999999999999"/>
    <n v="101"/>
    <n v="25.11"/>
    <n v="144.1"/>
    <n v="71"/>
    <n v="12.25"/>
    <n v="237"/>
    <n v="115"/>
    <n v="10.67"/>
    <x v="22"/>
    <x v="1"/>
    <x v="22"/>
    <x v="1"/>
    <x v="0"/>
  </r>
  <r>
    <s v="IN"/>
    <x v="87"/>
    <s v="area_code_415"/>
    <x v="0"/>
    <x v="1"/>
    <n v="0"/>
    <n v="89.4"/>
    <n v="77"/>
    <n v="15.2"/>
    <n v="288.89999999999998"/>
    <n v="128"/>
    <n v="24.56"/>
    <n v="162.9"/>
    <n v="93"/>
    <n v="7.33"/>
    <x v="91"/>
    <x v="5"/>
    <x v="91"/>
    <x v="3"/>
    <x v="0"/>
  </r>
  <r>
    <s v="VA"/>
    <x v="17"/>
    <s v="area_code_415"/>
    <x v="0"/>
    <x v="1"/>
    <n v="0"/>
    <n v="138.69999999999999"/>
    <n v="68"/>
    <n v="23.58"/>
    <n v="205.6"/>
    <n v="102"/>
    <n v="17.48"/>
    <n v="231.2"/>
    <n v="108"/>
    <n v="10.4"/>
    <x v="109"/>
    <x v="0"/>
    <x v="109"/>
    <x v="2"/>
    <x v="0"/>
  </r>
  <r>
    <s v="DC"/>
    <x v="33"/>
    <s v="area_code_415"/>
    <x v="0"/>
    <x v="0"/>
    <n v="26"/>
    <n v="205.4"/>
    <n v="68"/>
    <n v="34.92"/>
    <n v="115"/>
    <n v="115"/>
    <n v="9.7799999999999994"/>
    <n v="214.7"/>
    <n v="130"/>
    <n v="9.66"/>
    <x v="27"/>
    <x v="5"/>
    <x v="27"/>
    <x v="5"/>
    <x v="0"/>
  </r>
  <r>
    <s v="ID"/>
    <x v="83"/>
    <s v="area_code_408"/>
    <x v="0"/>
    <x v="1"/>
    <n v="0"/>
    <n v="187.4"/>
    <n v="86"/>
    <n v="31.86"/>
    <n v="169.3"/>
    <n v="116"/>
    <n v="14.39"/>
    <n v="153.4"/>
    <n v="88"/>
    <n v="6.9"/>
    <x v="50"/>
    <x v="0"/>
    <x v="50"/>
    <x v="0"/>
    <x v="0"/>
  </r>
  <r>
    <s v="DE"/>
    <x v="24"/>
    <s v="area_code_415"/>
    <x v="0"/>
    <x v="1"/>
    <n v="0"/>
    <n v="206.1"/>
    <n v="105"/>
    <n v="35.04"/>
    <n v="246.6"/>
    <n v="104"/>
    <n v="20.96"/>
    <n v="254.6"/>
    <n v="83"/>
    <n v="11.46"/>
    <x v="47"/>
    <x v="2"/>
    <x v="47"/>
    <x v="2"/>
    <x v="0"/>
  </r>
  <r>
    <s v="MN"/>
    <x v="171"/>
    <s v="area_code_408"/>
    <x v="0"/>
    <x v="0"/>
    <n v="34"/>
    <n v="131.5"/>
    <n v="143"/>
    <n v="22.36"/>
    <n v="185.3"/>
    <n v="109"/>
    <n v="15.75"/>
    <n v="177.3"/>
    <n v="117"/>
    <n v="7.98"/>
    <x v="54"/>
    <x v="1"/>
    <x v="54"/>
    <x v="1"/>
    <x v="0"/>
  </r>
  <r>
    <s v="WY"/>
    <x v="69"/>
    <s v="area_code_415"/>
    <x v="0"/>
    <x v="1"/>
    <n v="0"/>
    <n v="120.1"/>
    <n v="103"/>
    <n v="20.420000000000002"/>
    <n v="179.2"/>
    <n v="132"/>
    <n v="15.23"/>
    <n v="127.3"/>
    <n v="82"/>
    <n v="5.73"/>
    <x v="21"/>
    <x v="4"/>
    <x v="21"/>
    <x v="0"/>
    <x v="0"/>
  </r>
  <r>
    <s v="NY"/>
    <x v="118"/>
    <s v="area_code_415"/>
    <x v="0"/>
    <x v="1"/>
    <n v="0"/>
    <n v="168.6"/>
    <n v="85"/>
    <n v="28.66"/>
    <n v="176.3"/>
    <n v="89"/>
    <n v="14.99"/>
    <n v="282.3"/>
    <n v="69"/>
    <n v="12.7"/>
    <x v="64"/>
    <x v="11"/>
    <x v="64"/>
    <x v="0"/>
    <x v="0"/>
  </r>
  <r>
    <s v="AR"/>
    <x v="166"/>
    <s v="area_code_510"/>
    <x v="0"/>
    <x v="1"/>
    <n v="0"/>
    <n v="189.4"/>
    <n v="114"/>
    <n v="32.200000000000003"/>
    <n v="145.69999999999999"/>
    <n v="96"/>
    <n v="12.38"/>
    <n v="192.8"/>
    <n v="121"/>
    <n v="8.68"/>
    <x v="141"/>
    <x v="15"/>
    <x v="141"/>
    <x v="1"/>
    <x v="0"/>
  </r>
  <r>
    <s v="TX"/>
    <x v="28"/>
    <s v="area_code_408"/>
    <x v="0"/>
    <x v="1"/>
    <n v="0"/>
    <n v="158.5"/>
    <n v="90"/>
    <n v="26.95"/>
    <n v="254.4"/>
    <n v="67"/>
    <n v="21.62"/>
    <n v="178.4"/>
    <n v="104"/>
    <n v="8.0299999999999994"/>
    <x v="102"/>
    <x v="1"/>
    <x v="102"/>
    <x v="2"/>
    <x v="0"/>
  </r>
  <r>
    <s v="LA"/>
    <x v="141"/>
    <s v="area_code_415"/>
    <x v="0"/>
    <x v="0"/>
    <n v="27"/>
    <n v="176"/>
    <n v="141"/>
    <n v="29.92"/>
    <n v="201.3"/>
    <n v="143"/>
    <n v="17.11"/>
    <n v="167.9"/>
    <n v="93"/>
    <n v="7.56"/>
    <x v="5"/>
    <x v="1"/>
    <x v="5"/>
    <x v="3"/>
    <x v="0"/>
  </r>
  <r>
    <s v="UT"/>
    <x v="147"/>
    <s v="area_code_510"/>
    <x v="0"/>
    <x v="0"/>
    <n v="45"/>
    <n v="129.19999999999999"/>
    <n v="142"/>
    <n v="21.96"/>
    <n v="239.4"/>
    <n v="114"/>
    <n v="20.350000000000001"/>
    <n v="223.4"/>
    <n v="66"/>
    <n v="10.050000000000001"/>
    <x v="6"/>
    <x v="4"/>
    <x v="6"/>
    <x v="1"/>
    <x v="0"/>
  </r>
  <r>
    <s v="VA"/>
    <x v="144"/>
    <s v="area_code_415"/>
    <x v="0"/>
    <x v="0"/>
    <n v="49"/>
    <n v="174"/>
    <n v="122"/>
    <n v="29.58"/>
    <n v="168.6"/>
    <n v="85"/>
    <n v="14.33"/>
    <n v="132.1"/>
    <n v="120"/>
    <n v="5.94"/>
    <x v="35"/>
    <x v="4"/>
    <x v="35"/>
    <x v="0"/>
    <x v="0"/>
  </r>
  <r>
    <s v="TX"/>
    <x v="130"/>
    <s v="area_code_415"/>
    <x v="0"/>
    <x v="1"/>
    <n v="0"/>
    <n v="261.2"/>
    <n v="81"/>
    <n v="44.4"/>
    <n v="209.1"/>
    <n v="130"/>
    <n v="17.77"/>
    <n v="281.10000000000002"/>
    <n v="121"/>
    <n v="12.65"/>
    <x v="61"/>
    <x v="8"/>
    <x v="61"/>
    <x v="2"/>
    <x v="1"/>
  </r>
  <r>
    <s v="TN"/>
    <x v="39"/>
    <s v="area_code_415"/>
    <x v="0"/>
    <x v="1"/>
    <n v="0"/>
    <n v="264.60000000000002"/>
    <n v="117"/>
    <n v="44.98"/>
    <n v="264.10000000000002"/>
    <n v="121"/>
    <n v="22.45"/>
    <n v="77.099999999999994"/>
    <n v="89"/>
    <n v="3.47"/>
    <x v="111"/>
    <x v="4"/>
    <x v="111"/>
    <x v="1"/>
    <x v="0"/>
  </r>
  <r>
    <s v="PA"/>
    <x v="53"/>
    <s v="area_code_408"/>
    <x v="0"/>
    <x v="1"/>
    <n v="0"/>
    <n v="160.9"/>
    <n v="97"/>
    <n v="27.35"/>
    <n v="136.4"/>
    <n v="46"/>
    <n v="11.59"/>
    <n v="209"/>
    <n v="121"/>
    <n v="9.4"/>
    <x v="9"/>
    <x v="4"/>
    <x v="9"/>
    <x v="2"/>
    <x v="0"/>
  </r>
  <r>
    <s v="CT"/>
    <x v="96"/>
    <s v="area_code_510"/>
    <x v="0"/>
    <x v="0"/>
    <n v="36"/>
    <n v="124.8"/>
    <n v="93"/>
    <n v="21.22"/>
    <n v="241.7"/>
    <n v="83"/>
    <n v="20.54"/>
    <n v="219"/>
    <n v="110"/>
    <n v="9.86"/>
    <x v="61"/>
    <x v="0"/>
    <x v="61"/>
    <x v="0"/>
    <x v="0"/>
  </r>
  <r>
    <s v="DE"/>
    <x v="88"/>
    <s v="area_code_510"/>
    <x v="0"/>
    <x v="1"/>
    <n v="0"/>
    <n v="230.6"/>
    <n v="92"/>
    <n v="39.200000000000003"/>
    <n v="185.6"/>
    <n v="97"/>
    <n v="15.78"/>
    <n v="183.2"/>
    <n v="79"/>
    <n v="8.24"/>
    <x v="46"/>
    <x v="4"/>
    <x v="46"/>
    <x v="2"/>
    <x v="0"/>
  </r>
  <r>
    <s v="UT"/>
    <x v="11"/>
    <s v="area_code_408"/>
    <x v="0"/>
    <x v="0"/>
    <n v="35"/>
    <n v="229.1"/>
    <n v="143"/>
    <n v="38.950000000000003"/>
    <n v="148.19999999999999"/>
    <n v="104"/>
    <n v="12.6"/>
    <n v="248.4"/>
    <n v="110"/>
    <n v="11.18"/>
    <x v="159"/>
    <x v="0"/>
    <x v="159"/>
    <x v="1"/>
    <x v="0"/>
  </r>
  <r>
    <s v="OK"/>
    <x v="76"/>
    <s v="area_code_408"/>
    <x v="0"/>
    <x v="1"/>
    <n v="0"/>
    <n v="212.9"/>
    <n v="92"/>
    <n v="36.19"/>
    <n v="260.10000000000002"/>
    <n v="124"/>
    <n v="22.11"/>
    <n v="177.6"/>
    <n v="85"/>
    <n v="7.99"/>
    <x v="53"/>
    <x v="5"/>
    <x v="53"/>
    <x v="2"/>
    <x v="0"/>
  </r>
  <r>
    <s v="NH"/>
    <x v="134"/>
    <s v="area_code_408"/>
    <x v="0"/>
    <x v="0"/>
    <n v="30"/>
    <n v="124.8"/>
    <n v="99"/>
    <n v="21.22"/>
    <n v="207.6"/>
    <n v="142"/>
    <n v="17.649999999999999"/>
    <n v="175"/>
    <n v="95"/>
    <n v="7.88"/>
    <x v="117"/>
    <x v="0"/>
    <x v="117"/>
    <x v="0"/>
    <x v="0"/>
  </r>
  <r>
    <s v="MO"/>
    <x v="82"/>
    <s v="area_code_510"/>
    <x v="0"/>
    <x v="1"/>
    <n v="0"/>
    <n v="133.9"/>
    <n v="82"/>
    <n v="22.76"/>
    <n v="169.6"/>
    <n v="105"/>
    <n v="14.42"/>
    <n v="222.8"/>
    <n v="114"/>
    <n v="10.029999999999999"/>
    <x v="50"/>
    <x v="4"/>
    <x v="50"/>
    <x v="1"/>
    <x v="0"/>
  </r>
  <r>
    <s v="NV"/>
    <x v="82"/>
    <s v="area_code_510"/>
    <x v="0"/>
    <x v="0"/>
    <n v="31"/>
    <n v="129.80000000000001"/>
    <n v="87"/>
    <n v="22.07"/>
    <n v="183.4"/>
    <n v="110"/>
    <n v="15.59"/>
    <n v="169.4"/>
    <n v="40"/>
    <n v="7.62"/>
    <x v="108"/>
    <x v="3"/>
    <x v="108"/>
    <x v="0"/>
    <x v="0"/>
  </r>
  <r>
    <s v="HI"/>
    <x v="199"/>
    <s v="area_code_408"/>
    <x v="0"/>
    <x v="1"/>
    <n v="0"/>
    <n v="168.5"/>
    <n v="102"/>
    <n v="28.65"/>
    <n v="297.2"/>
    <n v="130"/>
    <n v="25.26"/>
    <n v="244.7"/>
    <n v="117"/>
    <n v="11.01"/>
    <x v="82"/>
    <x v="3"/>
    <x v="82"/>
    <x v="3"/>
    <x v="0"/>
  </r>
  <r>
    <s v="DC"/>
    <x v="148"/>
    <s v="area_code_415"/>
    <x v="1"/>
    <x v="1"/>
    <n v="0"/>
    <n v="81.400000000000006"/>
    <n v="110"/>
    <n v="13.84"/>
    <n v="263.7"/>
    <n v="150"/>
    <n v="22.41"/>
    <n v="219.7"/>
    <n v="107"/>
    <n v="9.89"/>
    <x v="1"/>
    <x v="0"/>
    <x v="1"/>
    <x v="0"/>
    <x v="0"/>
  </r>
  <r>
    <s v="OK"/>
    <x v="44"/>
    <s v="area_code_510"/>
    <x v="0"/>
    <x v="1"/>
    <n v="0"/>
    <n v="117.2"/>
    <n v="99"/>
    <n v="19.920000000000002"/>
    <n v="227.7"/>
    <n v="74"/>
    <n v="19.350000000000001"/>
    <n v="221.7"/>
    <n v="141"/>
    <n v="9.98"/>
    <x v="62"/>
    <x v="2"/>
    <x v="62"/>
    <x v="0"/>
    <x v="0"/>
  </r>
  <r>
    <s v="ME"/>
    <x v="134"/>
    <s v="area_code_510"/>
    <x v="1"/>
    <x v="1"/>
    <n v="0"/>
    <n v="300.39999999999998"/>
    <n v="113"/>
    <n v="51.07"/>
    <n v="210.8"/>
    <n v="93"/>
    <n v="17.920000000000002"/>
    <n v="173.4"/>
    <n v="121"/>
    <n v="7.8"/>
    <x v="78"/>
    <x v="0"/>
    <x v="78"/>
    <x v="2"/>
    <x v="1"/>
  </r>
  <r>
    <s v="AZ"/>
    <x v="60"/>
    <s v="area_code_415"/>
    <x v="0"/>
    <x v="1"/>
    <n v="0"/>
    <n v="195.1"/>
    <n v="105"/>
    <n v="33.17"/>
    <n v="272.39999999999998"/>
    <n v="100"/>
    <n v="23.15"/>
    <n v="142.69999999999999"/>
    <n v="102"/>
    <n v="6.42"/>
    <x v="73"/>
    <x v="18"/>
    <x v="73"/>
    <x v="0"/>
    <x v="0"/>
  </r>
  <r>
    <s v="MN"/>
    <x v="67"/>
    <s v="area_code_415"/>
    <x v="0"/>
    <x v="1"/>
    <n v="0"/>
    <n v="172"/>
    <n v="80"/>
    <n v="29.24"/>
    <n v="219.1"/>
    <n v="76"/>
    <n v="18.62"/>
    <n v="169.8"/>
    <n v="108"/>
    <n v="7.64"/>
    <x v="19"/>
    <x v="0"/>
    <x v="19"/>
    <x v="1"/>
    <x v="0"/>
  </r>
  <r>
    <s v="WY"/>
    <x v="143"/>
    <s v="area_code_415"/>
    <x v="1"/>
    <x v="0"/>
    <n v="46"/>
    <n v="165.2"/>
    <n v="85"/>
    <n v="28.08"/>
    <n v="136"/>
    <n v="92"/>
    <n v="11.56"/>
    <n v="184.8"/>
    <n v="100"/>
    <n v="8.32"/>
    <x v="78"/>
    <x v="1"/>
    <x v="78"/>
    <x v="0"/>
    <x v="0"/>
  </r>
  <r>
    <s v="WA"/>
    <x v="96"/>
    <s v="area_code_415"/>
    <x v="0"/>
    <x v="1"/>
    <n v="0"/>
    <n v="149.69999999999999"/>
    <n v="114"/>
    <n v="25.45"/>
    <n v="104.5"/>
    <n v="72"/>
    <n v="8.8800000000000008"/>
    <n v="227.9"/>
    <n v="87"/>
    <n v="10.26"/>
    <x v="62"/>
    <x v="5"/>
    <x v="62"/>
    <x v="2"/>
    <x v="0"/>
  </r>
  <r>
    <s v="AL"/>
    <x v="73"/>
    <s v="area_code_408"/>
    <x v="0"/>
    <x v="1"/>
    <n v="0"/>
    <n v="185.8"/>
    <n v="61"/>
    <n v="31.59"/>
    <n v="118.1"/>
    <n v="131"/>
    <n v="10.039999999999999"/>
    <n v="257.5"/>
    <n v="70"/>
    <n v="11.59"/>
    <x v="23"/>
    <x v="4"/>
    <x v="23"/>
    <x v="0"/>
    <x v="0"/>
  </r>
  <r>
    <s v="NM"/>
    <x v="146"/>
    <s v="area_code_408"/>
    <x v="0"/>
    <x v="1"/>
    <n v="0"/>
    <n v="244.6"/>
    <n v="91"/>
    <n v="41.58"/>
    <n v="125.1"/>
    <n v="70"/>
    <n v="10.63"/>
    <n v="303.39999999999998"/>
    <n v="104"/>
    <n v="13.65"/>
    <x v="42"/>
    <x v="1"/>
    <x v="42"/>
    <x v="1"/>
    <x v="0"/>
  </r>
  <r>
    <s v="MA"/>
    <x v="6"/>
    <s v="area_code_408"/>
    <x v="0"/>
    <x v="1"/>
    <n v="0"/>
    <n v="302.60000000000002"/>
    <n v="83"/>
    <n v="51.44"/>
    <n v="167.1"/>
    <n v="106"/>
    <n v="14.2"/>
    <n v="209.8"/>
    <n v="79"/>
    <n v="9.44"/>
    <x v="91"/>
    <x v="2"/>
    <x v="91"/>
    <x v="0"/>
    <x v="1"/>
  </r>
  <r>
    <s v="ME"/>
    <x v="74"/>
    <s v="area_code_415"/>
    <x v="0"/>
    <x v="0"/>
    <n v="30"/>
    <n v="195.2"/>
    <n v="123"/>
    <n v="33.18"/>
    <n v="126.4"/>
    <n v="115"/>
    <n v="10.74"/>
    <n v="221"/>
    <n v="90"/>
    <n v="9.9499999999999993"/>
    <x v="62"/>
    <x v="1"/>
    <x v="62"/>
    <x v="5"/>
    <x v="1"/>
  </r>
  <r>
    <s v="SD"/>
    <x v="137"/>
    <s v="area_code_510"/>
    <x v="1"/>
    <x v="1"/>
    <n v="0"/>
    <n v="207.8"/>
    <n v="113"/>
    <n v="35.33"/>
    <n v="182.2"/>
    <n v="129"/>
    <n v="15.49"/>
    <n v="163.4"/>
    <n v="98"/>
    <n v="7.35"/>
    <x v="14"/>
    <x v="0"/>
    <x v="14"/>
    <x v="0"/>
    <x v="0"/>
  </r>
  <r>
    <s v="LA"/>
    <x v="33"/>
    <s v="area_code_415"/>
    <x v="0"/>
    <x v="1"/>
    <n v="0"/>
    <n v="119"/>
    <n v="119"/>
    <n v="20.23"/>
    <n v="134.5"/>
    <n v="115"/>
    <n v="11.43"/>
    <n v="298.60000000000002"/>
    <n v="75"/>
    <n v="13.44"/>
    <x v="62"/>
    <x v="3"/>
    <x v="62"/>
    <x v="2"/>
    <x v="1"/>
  </r>
  <r>
    <s v="HI"/>
    <x v="78"/>
    <s v="area_code_415"/>
    <x v="0"/>
    <x v="1"/>
    <n v="0"/>
    <n v="245.8"/>
    <n v="116"/>
    <n v="41.79"/>
    <n v="135.4"/>
    <n v="97"/>
    <n v="11.51"/>
    <n v="190.9"/>
    <n v="73"/>
    <n v="8.59"/>
    <x v="79"/>
    <x v="2"/>
    <x v="79"/>
    <x v="0"/>
    <x v="0"/>
  </r>
  <r>
    <s v="FL"/>
    <x v="116"/>
    <s v="area_code_408"/>
    <x v="0"/>
    <x v="1"/>
    <n v="0"/>
    <n v="131"/>
    <n v="148"/>
    <n v="22.27"/>
    <n v="237.7"/>
    <n v="126"/>
    <n v="20.2"/>
    <n v="281.3"/>
    <n v="111"/>
    <n v="12.66"/>
    <x v="44"/>
    <x v="4"/>
    <x v="44"/>
    <x v="3"/>
    <x v="0"/>
  </r>
  <r>
    <s v="WI"/>
    <x v="145"/>
    <s v="area_code_415"/>
    <x v="0"/>
    <x v="1"/>
    <n v="0"/>
    <n v="129.80000000000001"/>
    <n v="106"/>
    <n v="22.07"/>
    <n v="188.7"/>
    <n v="138"/>
    <n v="16.04"/>
    <n v="212.5"/>
    <n v="116"/>
    <n v="9.56"/>
    <x v="24"/>
    <x v="4"/>
    <x v="24"/>
    <x v="4"/>
    <x v="1"/>
  </r>
  <r>
    <s v="SD"/>
    <x v="65"/>
    <s v="area_code_510"/>
    <x v="1"/>
    <x v="1"/>
    <n v="0"/>
    <n v="275.89999999999998"/>
    <n v="84"/>
    <n v="46.9"/>
    <n v="203"/>
    <n v="91"/>
    <n v="17.260000000000002"/>
    <n v="211.4"/>
    <n v="108"/>
    <n v="9.51"/>
    <x v="92"/>
    <x v="4"/>
    <x v="92"/>
    <x v="2"/>
    <x v="1"/>
  </r>
  <r>
    <s v="NH"/>
    <x v="62"/>
    <s v="area_code_510"/>
    <x v="0"/>
    <x v="1"/>
    <n v="0"/>
    <n v="213.3"/>
    <n v="124"/>
    <n v="36.26"/>
    <n v="189.6"/>
    <n v="86"/>
    <n v="16.12"/>
    <n v="193.7"/>
    <n v="107"/>
    <n v="8.7200000000000006"/>
    <x v="47"/>
    <x v="5"/>
    <x v="47"/>
    <x v="0"/>
    <x v="0"/>
  </r>
  <r>
    <s v="NJ"/>
    <x v="6"/>
    <s v="area_code_415"/>
    <x v="0"/>
    <x v="1"/>
    <n v="0"/>
    <n v="128.6"/>
    <n v="92"/>
    <n v="21.86"/>
    <n v="191.7"/>
    <n v="61"/>
    <n v="16.29"/>
    <n v="121.7"/>
    <n v="117"/>
    <n v="5.48"/>
    <x v="70"/>
    <x v="6"/>
    <x v="70"/>
    <x v="2"/>
    <x v="0"/>
  </r>
  <r>
    <s v="ND"/>
    <x v="97"/>
    <s v="area_code_510"/>
    <x v="0"/>
    <x v="1"/>
    <n v="0"/>
    <n v="95.3"/>
    <n v="103"/>
    <n v="16.2"/>
    <n v="189.3"/>
    <n v="116"/>
    <n v="16.09"/>
    <n v="238.7"/>
    <n v="110"/>
    <n v="10.74"/>
    <x v="109"/>
    <x v="4"/>
    <x v="109"/>
    <x v="0"/>
    <x v="0"/>
  </r>
  <r>
    <s v="MA"/>
    <x v="124"/>
    <s v="area_code_415"/>
    <x v="0"/>
    <x v="1"/>
    <n v="0"/>
    <n v="214.7"/>
    <n v="112"/>
    <n v="36.5"/>
    <n v="262.89999999999998"/>
    <n v="115"/>
    <n v="22.35"/>
    <n v="228.9"/>
    <n v="68"/>
    <n v="10.3"/>
    <x v="43"/>
    <x v="5"/>
    <x v="43"/>
    <x v="0"/>
    <x v="0"/>
  </r>
  <r>
    <s v="WV"/>
    <x v="103"/>
    <s v="area_code_415"/>
    <x v="0"/>
    <x v="1"/>
    <n v="0"/>
    <n v="180.4"/>
    <n v="99"/>
    <n v="30.67"/>
    <n v="135.1"/>
    <n v="114"/>
    <n v="11.48"/>
    <n v="206"/>
    <n v="98"/>
    <n v="9.27"/>
    <x v="17"/>
    <x v="3"/>
    <x v="17"/>
    <x v="0"/>
    <x v="0"/>
  </r>
  <r>
    <s v="MI"/>
    <x v="55"/>
    <s v="area_code_415"/>
    <x v="0"/>
    <x v="1"/>
    <n v="0"/>
    <n v="164.1"/>
    <n v="84"/>
    <n v="27.9"/>
    <n v="317.7"/>
    <n v="109"/>
    <n v="27"/>
    <n v="241.5"/>
    <n v="87"/>
    <n v="10.87"/>
    <x v="64"/>
    <x v="4"/>
    <x v="64"/>
    <x v="0"/>
    <x v="0"/>
  </r>
  <r>
    <s v="RI"/>
    <x v="76"/>
    <s v="area_code_510"/>
    <x v="0"/>
    <x v="1"/>
    <n v="0"/>
    <n v="211.1"/>
    <n v="62"/>
    <n v="35.89"/>
    <n v="235.2"/>
    <n v="143"/>
    <n v="19.989999999999998"/>
    <n v="227.5"/>
    <n v="66"/>
    <n v="10.24"/>
    <x v="95"/>
    <x v="0"/>
    <x v="95"/>
    <x v="2"/>
    <x v="0"/>
  </r>
  <r>
    <s v="NY"/>
    <x v="65"/>
    <s v="area_code_415"/>
    <x v="0"/>
    <x v="0"/>
    <n v="19"/>
    <n v="312.39999999999998"/>
    <n v="98"/>
    <n v="53.11"/>
    <n v="271.39999999999998"/>
    <n v="122"/>
    <n v="23.07"/>
    <n v="162.6"/>
    <n v="91"/>
    <n v="7.32"/>
    <x v="3"/>
    <x v="3"/>
    <x v="3"/>
    <x v="1"/>
    <x v="0"/>
  </r>
  <r>
    <s v="SD"/>
    <x v="96"/>
    <s v="area_code_408"/>
    <x v="0"/>
    <x v="0"/>
    <n v="27"/>
    <n v="223.3"/>
    <n v="97"/>
    <n v="37.96"/>
    <n v="212.5"/>
    <n v="131"/>
    <n v="18.059999999999999"/>
    <n v="154.6"/>
    <n v="149"/>
    <n v="6.96"/>
    <x v="43"/>
    <x v="5"/>
    <x v="43"/>
    <x v="0"/>
    <x v="0"/>
  </r>
  <r>
    <s v="NV"/>
    <x v="142"/>
    <s v="area_code_415"/>
    <x v="0"/>
    <x v="0"/>
    <n v="28"/>
    <n v="236.8"/>
    <n v="89"/>
    <n v="40.26"/>
    <n v="158.4"/>
    <n v="91"/>
    <n v="13.46"/>
    <n v="212.3"/>
    <n v="97"/>
    <n v="9.5500000000000007"/>
    <x v="40"/>
    <x v="0"/>
    <x v="40"/>
    <x v="2"/>
    <x v="0"/>
  </r>
  <r>
    <s v="DC"/>
    <x v="51"/>
    <s v="area_code_415"/>
    <x v="0"/>
    <x v="1"/>
    <n v="0"/>
    <n v="149.69999999999999"/>
    <n v="99"/>
    <n v="25.45"/>
    <n v="160"/>
    <n v="97"/>
    <n v="13.6"/>
    <n v="256.5"/>
    <n v="161"/>
    <n v="11.54"/>
    <x v="17"/>
    <x v="1"/>
    <x v="17"/>
    <x v="0"/>
    <x v="0"/>
  </r>
  <r>
    <s v="AR"/>
    <x v="40"/>
    <s v="area_code_415"/>
    <x v="0"/>
    <x v="0"/>
    <n v="17"/>
    <n v="268.10000000000002"/>
    <n v="94"/>
    <n v="45.58"/>
    <n v="156.1"/>
    <n v="124"/>
    <n v="13.27"/>
    <n v="160.4"/>
    <n v="90"/>
    <n v="7.22"/>
    <x v="109"/>
    <x v="1"/>
    <x v="109"/>
    <x v="2"/>
    <x v="0"/>
  </r>
  <r>
    <s v="CO"/>
    <x v="25"/>
    <s v="area_code_415"/>
    <x v="1"/>
    <x v="1"/>
    <n v="0"/>
    <n v="245"/>
    <n v="119"/>
    <n v="41.65"/>
    <n v="195.5"/>
    <n v="91"/>
    <n v="16.62"/>
    <n v="165.7"/>
    <n v="87"/>
    <n v="7.46"/>
    <x v="35"/>
    <x v="2"/>
    <x v="35"/>
    <x v="0"/>
    <x v="0"/>
  </r>
  <r>
    <s v="DC"/>
    <x v="65"/>
    <s v="area_code_510"/>
    <x v="1"/>
    <x v="0"/>
    <n v="36"/>
    <n v="153.80000000000001"/>
    <n v="105"/>
    <n v="26.15"/>
    <n v="246.2"/>
    <n v="62"/>
    <n v="20.93"/>
    <n v="150.9"/>
    <n v="125"/>
    <n v="6.79"/>
    <x v="22"/>
    <x v="4"/>
    <x v="22"/>
    <x v="0"/>
    <x v="0"/>
  </r>
  <r>
    <s v="FL"/>
    <x v="139"/>
    <s v="area_code_408"/>
    <x v="0"/>
    <x v="0"/>
    <n v="49"/>
    <n v="229.4"/>
    <n v="78"/>
    <n v="39"/>
    <n v="219.5"/>
    <n v="106"/>
    <n v="18.66"/>
    <n v="172.3"/>
    <n v="115"/>
    <n v="7.75"/>
    <x v="42"/>
    <x v="4"/>
    <x v="42"/>
    <x v="3"/>
    <x v="0"/>
  </r>
  <r>
    <s v="GA"/>
    <x v="53"/>
    <s v="area_code_415"/>
    <x v="0"/>
    <x v="1"/>
    <n v="0"/>
    <n v="68.8"/>
    <n v="124"/>
    <n v="11.7"/>
    <n v="168.1"/>
    <n v="106"/>
    <n v="14.29"/>
    <n v="281.7"/>
    <n v="96"/>
    <n v="12.68"/>
    <x v="52"/>
    <x v="1"/>
    <x v="52"/>
    <x v="0"/>
    <x v="0"/>
  </r>
  <r>
    <s v="CT"/>
    <x v="60"/>
    <s v="area_code_415"/>
    <x v="0"/>
    <x v="1"/>
    <n v="0"/>
    <n v="200.2"/>
    <n v="113"/>
    <n v="34.03"/>
    <n v="128.9"/>
    <n v="116"/>
    <n v="10.96"/>
    <n v="278.89999999999998"/>
    <n v="109"/>
    <n v="12.55"/>
    <x v="91"/>
    <x v="1"/>
    <x v="91"/>
    <x v="1"/>
    <x v="0"/>
  </r>
  <r>
    <s v="IL"/>
    <x v="90"/>
    <s v="area_code_415"/>
    <x v="0"/>
    <x v="1"/>
    <n v="0"/>
    <n v="134.6"/>
    <n v="73"/>
    <n v="22.88"/>
    <n v="206.8"/>
    <n v="117"/>
    <n v="17.579999999999998"/>
    <n v="138.4"/>
    <n v="104"/>
    <n v="6.23"/>
    <x v="27"/>
    <x v="5"/>
    <x v="27"/>
    <x v="2"/>
    <x v="0"/>
  </r>
  <r>
    <s v="WA"/>
    <x v="158"/>
    <s v="area_code_415"/>
    <x v="0"/>
    <x v="1"/>
    <n v="0"/>
    <n v="232.4"/>
    <n v="101"/>
    <n v="39.51"/>
    <n v="182"/>
    <n v="80"/>
    <n v="15.47"/>
    <n v="271.8"/>
    <n v="133"/>
    <n v="12.23"/>
    <x v="17"/>
    <x v="0"/>
    <x v="17"/>
    <x v="1"/>
    <x v="0"/>
  </r>
  <r>
    <s v="MN"/>
    <x v="66"/>
    <s v="area_code_415"/>
    <x v="0"/>
    <x v="1"/>
    <n v="0"/>
    <n v="126"/>
    <n v="89"/>
    <n v="21.42"/>
    <n v="147"/>
    <n v="95"/>
    <n v="12.5"/>
    <n v="280.2"/>
    <n v="97"/>
    <n v="12.61"/>
    <x v="113"/>
    <x v="4"/>
    <x v="113"/>
    <x v="1"/>
    <x v="0"/>
  </r>
  <r>
    <s v="NV"/>
    <x v="60"/>
    <s v="area_code_510"/>
    <x v="0"/>
    <x v="1"/>
    <n v="0"/>
    <n v="175.9"/>
    <n v="121"/>
    <n v="29.9"/>
    <n v="222.1"/>
    <n v="94"/>
    <n v="18.88"/>
    <n v="191.8"/>
    <n v="123"/>
    <n v="8.6300000000000008"/>
    <x v="54"/>
    <x v="1"/>
    <x v="54"/>
    <x v="0"/>
    <x v="0"/>
  </r>
  <r>
    <s v="UT"/>
    <x v="91"/>
    <s v="area_code_415"/>
    <x v="1"/>
    <x v="1"/>
    <n v="0"/>
    <n v="161.69999999999999"/>
    <n v="99"/>
    <n v="27.49"/>
    <n v="216.1"/>
    <n v="89"/>
    <n v="18.37"/>
    <n v="176.7"/>
    <n v="115"/>
    <n v="7.95"/>
    <x v="70"/>
    <x v="3"/>
    <x v="70"/>
    <x v="0"/>
    <x v="0"/>
  </r>
  <r>
    <s v="MS"/>
    <x v="64"/>
    <s v="area_code_415"/>
    <x v="0"/>
    <x v="1"/>
    <n v="0"/>
    <n v="112.6"/>
    <n v="80"/>
    <n v="19.14"/>
    <n v="124.4"/>
    <n v="86"/>
    <n v="10.57"/>
    <n v="234.9"/>
    <n v="88"/>
    <n v="10.57"/>
    <x v="111"/>
    <x v="0"/>
    <x v="111"/>
    <x v="8"/>
    <x v="1"/>
  </r>
  <r>
    <s v="OH"/>
    <x v="0"/>
    <s v="area_code_415"/>
    <x v="0"/>
    <x v="0"/>
    <n v="26"/>
    <n v="234"/>
    <n v="116"/>
    <n v="39.78"/>
    <n v="223.9"/>
    <n v="103"/>
    <n v="19.03"/>
    <n v="246.5"/>
    <n v="105"/>
    <n v="11.09"/>
    <x v="12"/>
    <x v="8"/>
    <x v="12"/>
    <x v="0"/>
    <x v="0"/>
  </r>
  <r>
    <s v="WV"/>
    <x v="26"/>
    <s v="area_code_408"/>
    <x v="0"/>
    <x v="1"/>
    <n v="0"/>
    <n v="226.3"/>
    <n v="88"/>
    <n v="38.47"/>
    <n v="306.2"/>
    <n v="81"/>
    <n v="26.03"/>
    <n v="200.9"/>
    <n v="120"/>
    <n v="9.0399999999999991"/>
    <x v="35"/>
    <x v="12"/>
    <x v="35"/>
    <x v="0"/>
    <x v="1"/>
  </r>
  <r>
    <s v="UT"/>
    <x v="67"/>
    <s v="area_code_415"/>
    <x v="0"/>
    <x v="1"/>
    <n v="0"/>
    <n v="174.1"/>
    <n v="127"/>
    <n v="29.6"/>
    <n v="176.8"/>
    <n v="73"/>
    <n v="15.03"/>
    <n v="240"/>
    <n v="111"/>
    <n v="10.8"/>
    <x v="85"/>
    <x v="0"/>
    <x v="85"/>
    <x v="1"/>
    <x v="0"/>
  </r>
  <r>
    <s v="CT"/>
    <x v="62"/>
    <s v="area_code_415"/>
    <x v="0"/>
    <x v="1"/>
    <n v="0"/>
    <n v="195.6"/>
    <n v="111"/>
    <n v="33.25"/>
    <n v="221.5"/>
    <n v="122"/>
    <n v="18.829999999999998"/>
    <n v="182"/>
    <n v="89"/>
    <n v="8.19"/>
    <x v="81"/>
    <x v="8"/>
    <x v="81"/>
    <x v="0"/>
    <x v="0"/>
  </r>
  <r>
    <s v="NH"/>
    <x v="76"/>
    <s v="area_code_415"/>
    <x v="0"/>
    <x v="1"/>
    <n v="0"/>
    <n v="200.8"/>
    <n v="104"/>
    <n v="34.14"/>
    <n v="181.4"/>
    <n v="73"/>
    <n v="15.42"/>
    <n v="89.7"/>
    <n v="49"/>
    <n v="4.04"/>
    <x v="84"/>
    <x v="1"/>
    <x v="84"/>
    <x v="1"/>
    <x v="0"/>
  </r>
  <r>
    <s v="DE"/>
    <x v="133"/>
    <s v="area_code_415"/>
    <x v="0"/>
    <x v="1"/>
    <n v="0"/>
    <n v="225.6"/>
    <n v="118"/>
    <n v="38.35"/>
    <n v="135.4"/>
    <n v="122"/>
    <n v="11.51"/>
    <n v="190.1"/>
    <n v="96"/>
    <n v="8.5500000000000007"/>
    <x v="47"/>
    <x v="1"/>
    <x v="47"/>
    <x v="0"/>
    <x v="0"/>
  </r>
  <r>
    <s v="CO"/>
    <x v="155"/>
    <s v="area_code_408"/>
    <x v="0"/>
    <x v="0"/>
    <n v="38"/>
    <n v="272.89999999999998"/>
    <n v="122"/>
    <n v="46.39"/>
    <n v="188.4"/>
    <n v="97"/>
    <n v="16.010000000000002"/>
    <n v="132.4"/>
    <n v="87"/>
    <n v="5.96"/>
    <x v="26"/>
    <x v="0"/>
    <x v="26"/>
    <x v="2"/>
    <x v="0"/>
  </r>
  <r>
    <s v="ID"/>
    <x v="155"/>
    <s v="area_code_510"/>
    <x v="1"/>
    <x v="1"/>
    <n v="0"/>
    <n v="199.7"/>
    <n v="121"/>
    <n v="33.950000000000003"/>
    <n v="189.4"/>
    <n v="92"/>
    <n v="16.100000000000001"/>
    <n v="264"/>
    <n v="120"/>
    <n v="11.88"/>
    <x v="22"/>
    <x v="4"/>
    <x v="22"/>
    <x v="8"/>
    <x v="1"/>
  </r>
  <r>
    <s v="DE"/>
    <x v="32"/>
    <s v="area_code_415"/>
    <x v="0"/>
    <x v="0"/>
    <n v="31"/>
    <n v="281.89999999999998"/>
    <n v="121"/>
    <n v="47.92"/>
    <n v="240.6"/>
    <n v="104"/>
    <n v="20.45"/>
    <n v="212.2"/>
    <n v="120"/>
    <n v="9.5500000000000007"/>
    <x v="99"/>
    <x v="1"/>
    <x v="99"/>
    <x v="3"/>
    <x v="0"/>
  </r>
  <r>
    <s v="PA"/>
    <x v="120"/>
    <s v="area_code_415"/>
    <x v="1"/>
    <x v="1"/>
    <n v="0"/>
    <n v="181.2"/>
    <n v="122"/>
    <n v="30.8"/>
    <n v="262.5"/>
    <n v="77"/>
    <n v="22.31"/>
    <n v="214"/>
    <n v="88"/>
    <n v="9.6300000000000008"/>
    <x v="80"/>
    <x v="4"/>
    <x v="80"/>
    <x v="1"/>
    <x v="0"/>
  </r>
  <r>
    <s v="NJ"/>
    <x v="83"/>
    <s v="area_code_415"/>
    <x v="0"/>
    <x v="1"/>
    <n v="0"/>
    <n v="63.3"/>
    <n v="116"/>
    <n v="10.76"/>
    <n v="177.3"/>
    <n v="113"/>
    <n v="15.07"/>
    <n v="171.6"/>
    <n v="82"/>
    <n v="7.72"/>
    <x v="66"/>
    <x v="4"/>
    <x v="66"/>
    <x v="0"/>
    <x v="0"/>
  </r>
  <r>
    <s v="MO"/>
    <x v="130"/>
    <s v="area_code_510"/>
    <x v="0"/>
    <x v="1"/>
    <n v="0"/>
    <n v="189.3"/>
    <n v="73"/>
    <n v="32.18"/>
    <n v="156.19999999999999"/>
    <n v="120"/>
    <n v="13.28"/>
    <n v="232.2"/>
    <n v="76"/>
    <n v="10.45"/>
    <x v="4"/>
    <x v="10"/>
    <x v="4"/>
    <x v="3"/>
    <x v="0"/>
  </r>
  <r>
    <s v="OK"/>
    <x v="26"/>
    <s v="area_code_510"/>
    <x v="0"/>
    <x v="1"/>
    <n v="0"/>
    <n v="140"/>
    <n v="84"/>
    <n v="23.8"/>
    <n v="216.8"/>
    <n v="73"/>
    <n v="18.43"/>
    <n v="224.5"/>
    <n v="102"/>
    <n v="10.1"/>
    <x v="62"/>
    <x v="3"/>
    <x v="62"/>
    <x v="2"/>
    <x v="0"/>
  </r>
  <r>
    <s v="RI"/>
    <x v="37"/>
    <s v="area_code_415"/>
    <x v="0"/>
    <x v="1"/>
    <n v="0"/>
    <n v="221"/>
    <n v="94"/>
    <n v="37.57"/>
    <n v="308.2"/>
    <n v="72"/>
    <n v="26.2"/>
    <n v="233.2"/>
    <n v="94"/>
    <n v="10.49"/>
    <x v="3"/>
    <x v="1"/>
    <x v="3"/>
    <x v="0"/>
    <x v="1"/>
  </r>
  <r>
    <s v="MS"/>
    <x v="158"/>
    <s v="area_code_510"/>
    <x v="1"/>
    <x v="1"/>
    <n v="0"/>
    <n v="191.6"/>
    <n v="83"/>
    <n v="32.57"/>
    <n v="181.1"/>
    <n v="103"/>
    <n v="15.39"/>
    <n v="195.3"/>
    <n v="73"/>
    <n v="8.7899999999999991"/>
    <x v="53"/>
    <x v="0"/>
    <x v="53"/>
    <x v="3"/>
    <x v="0"/>
  </r>
  <r>
    <s v="VA"/>
    <x v="105"/>
    <s v="area_code_415"/>
    <x v="0"/>
    <x v="1"/>
    <n v="0"/>
    <n v="294.3"/>
    <n v="83"/>
    <n v="50.03"/>
    <n v="172.1"/>
    <n v="104"/>
    <n v="14.63"/>
    <n v="177.3"/>
    <n v="105"/>
    <n v="7.98"/>
    <x v="41"/>
    <x v="2"/>
    <x v="41"/>
    <x v="2"/>
    <x v="1"/>
  </r>
  <r>
    <s v="IL"/>
    <x v="166"/>
    <s v="area_code_415"/>
    <x v="0"/>
    <x v="1"/>
    <n v="0"/>
    <n v="162.6"/>
    <n v="113"/>
    <n v="27.64"/>
    <n v="260.2"/>
    <n v="90"/>
    <n v="22.12"/>
    <n v="214.7"/>
    <n v="93"/>
    <n v="9.66"/>
    <x v="54"/>
    <x v="5"/>
    <x v="54"/>
    <x v="1"/>
    <x v="0"/>
  </r>
  <r>
    <s v="MS"/>
    <x v="73"/>
    <s v="area_code_510"/>
    <x v="0"/>
    <x v="0"/>
    <n v="27"/>
    <n v="233.6"/>
    <n v="126"/>
    <n v="39.71"/>
    <n v="152.9"/>
    <n v="94"/>
    <n v="13"/>
    <n v="262.10000000000002"/>
    <n v="95"/>
    <n v="11.79"/>
    <x v="75"/>
    <x v="4"/>
    <x v="75"/>
    <x v="0"/>
    <x v="0"/>
  </r>
  <r>
    <s v="OK"/>
    <x v="26"/>
    <s v="area_code_415"/>
    <x v="0"/>
    <x v="1"/>
    <n v="0"/>
    <n v="290.5"/>
    <n v="119"/>
    <n v="49.39"/>
    <n v="158.4"/>
    <n v="75"/>
    <n v="13.46"/>
    <n v="255.6"/>
    <n v="101"/>
    <n v="11.5"/>
    <x v="53"/>
    <x v="3"/>
    <x v="53"/>
    <x v="2"/>
    <x v="1"/>
  </r>
  <r>
    <s v="TN"/>
    <x v="147"/>
    <s v="area_code_415"/>
    <x v="0"/>
    <x v="1"/>
    <n v="0"/>
    <n v="183.2"/>
    <n v="112"/>
    <n v="31.14"/>
    <n v="187.5"/>
    <n v="113"/>
    <n v="15.94"/>
    <n v="232.3"/>
    <n v="77"/>
    <n v="10.45"/>
    <x v="29"/>
    <x v="1"/>
    <x v="29"/>
    <x v="0"/>
    <x v="1"/>
  </r>
  <r>
    <s v="WV"/>
    <x v="100"/>
    <s v="area_code_408"/>
    <x v="0"/>
    <x v="1"/>
    <n v="0"/>
    <n v="155.6"/>
    <n v="78"/>
    <n v="26.45"/>
    <n v="165.2"/>
    <n v="134"/>
    <n v="14.04"/>
    <n v="184.1"/>
    <n v="89"/>
    <n v="8.2799999999999994"/>
    <x v="6"/>
    <x v="5"/>
    <x v="6"/>
    <x v="2"/>
    <x v="0"/>
  </r>
  <r>
    <s v="FL"/>
    <x v="108"/>
    <s v="area_code_415"/>
    <x v="0"/>
    <x v="1"/>
    <n v="0"/>
    <n v="303"/>
    <n v="93"/>
    <n v="51.51"/>
    <n v="175.6"/>
    <n v="89"/>
    <n v="14.93"/>
    <n v="135.19999999999999"/>
    <n v="102"/>
    <n v="6.08"/>
    <x v="91"/>
    <x v="1"/>
    <x v="91"/>
    <x v="0"/>
    <x v="1"/>
  </r>
  <r>
    <s v="NH"/>
    <x v="60"/>
    <s v="area_code_415"/>
    <x v="0"/>
    <x v="1"/>
    <n v="0"/>
    <n v="114.4"/>
    <n v="115"/>
    <n v="19.45"/>
    <n v="183.9"/>
    <n v="79"/>
    <n v="15.63"/>
    <n v="205.2"/>
    <n v="78"/>
    <n v="9.23"/>
    <x v="96"/>
    <x v="5"/>
    <x v="96"/>
    <x v="3"/>
    <x v="0"/>
  </r>
  <r>
    <s v="NY"/>
    <x v="40"/>
    <s v="area_code_408"/>
    <x v="0"/>
    <x v="0"/>
    <n v="36"/>
    <n v="164.8"/>
    <n v="106"/>
    <n v="28.02"/>
    <n v="210.2"/>
    <n v="138"/>
    <n v="17.87"/>
    <n v="173.6"/>
    <n v="78"/>
    <n v="7.81"/>
    <x v="146"/>
    <x v="5"/>
    <x v="146"/>
    <x v="2"/>
    <x v="0"/>
  </r>
  <r>
    <s v="NE"/>
    <x v="108"/>
    <s v="area_code_415"/>
    <x v="0"/>
    <x v="1"/>
    <n v="0"/>
    <n v="220.3"/>
    <n v="106"/>
    <n v="37.450000000000003"/>
    <n v="126.1"/>
    <n v="124"/>
    <n v="10.72"/>
    <n v="242"/>
    <n v="67"/>
    <n v="10.89"/>
    <x v="39"/>
    <x v="8"/>
    <x v="39"/>
    <x v="3"/>
    <x v="0"/>
  </r>
  <r>
    <s v="WV"/>
    <x v="26"/>
    <s v="area_code_510"/>
    <x v="0"/>
    <x v="0"/>
    <n v="26"/>
    <n v="189"/>
    <n v="98"/>
    <n v="32.130000000000003"/>
    <n v="191.7"/>
    <n v="67"/>
    <n v="16.29"/>
    <n v="217"/>
    <n v="68"/>
    <n v="9.76"/>
    <x v="61"/>
    <x v="0"/>
    <x v="61"/>
    <x v="1"/>
    <x v="0"/>
  </r>
  <r>
    <s v="NV"/>
    <x v="83"/>
    <s v="area_code_510"/>
    <x v="1"/>
    <x v="1"/>
    <n v="0"/>
    <n v="172.6"/>
    <n v="92"/>
    <n v="29.34"/>
    <n v="281.7"/>
    <n v="123"/>
    <n v="23.94"/>
    <n v="253.4"/>
    <n v="117"/>
    <n v="11.4"/>
    <x v="26"/>
    <x v="0"/>
    <x v="26"/>
    <x v="3"/>
    <x v="0"/>
  </r>
  <r>
    <s v="CT"/>
    <x v="105"/>
    <s v="area_code_415"/>
    <x v="0"/>
    <x v="1"/>
    <n v="0"/>
    <n v="168.8"/>
    <n v="141"/>
    <n v="28.7"/>
    <n v="211.5"/>
    <n v="129"/>
    <n v="17.98"/>
    <n v="86.9"/>
    <n v="92"/>
    <n v="3.91"/>
    <x v="26"/>
    <x v="2"/>
    <x v="26"/>
    <x v="3"/>
    <x v="0"/>
  </r>
  <r>
    <s v="KS"/>
    <x v="153"/>
    <s v="area_code_408"/>
    <x v="0"/>
    <x v="0"/>
    <n v="39"/>
    <n v="243.1"/>
    <n v="137"/>
    <n v="41.33"/>
    <n v="236.7"/>
    <n v="103"/>
    <n v="20.12"/>
    <n v="191.2"/>
    <n v="118"/>
    <n v="8.6"/>
    <x v="79"/>
    <x v="0"/>
    <x v="79"/>
    <x v="0"/>
    <x v="0"/>
  </r>
  <r>
    <s v="NH"/>
    <x v="76"/>
    <s v="area_code_415"/>
    <x v="1"/>
    <x v="1"/>
    <n v="0"/>
    <n v="324.3"/>
    <n v="107"/>
    <n v="55.13"/>
    <n v="141.6"/>
    <n v="90"/>
    <n v="12.04"/>
    <n v="207.6"/>
    <n v="90"/>
    <n v="9.34"/>
    <x v="75"/>
    <x v="2"/>
    <x v="75"/>
    <x v="0"/>
    <x v="1"/>
  </r>
  <r>
    <s v="ND"/>
    <x v="147"/>
    <s v="area_code_510"/>
    <x v="0"/>
    <x v="1"/>
    <n v="0"/>
    <n v="69.7"/>
    <n v="85"/>
    <n v="11.85"/>
    <n v="226.5"/>
    <n v="107"/>
    <n v="19.25"/>
    <n v="128.5"/>
    <n v="104"/>
    <n v="5.78"/>
    <x v="22"/>
    <x v="5"/>
    <x v="22"/>
    <x v="2"/>
    <x v="0"/>
  </r>
  <r>
    <s v="AR"/>
    <x v="23"/>
    <s v="area_code_408"/>
    <x v="1"/>
    <x v="0"/>
    <n v="32"/>
    <n v="176.9"/>
    <n v="118"/>
    <n v="30.07"/>
    <n v="227"/>
    <n v="121"/>
    <n v="19.3"/>
    <n v="204.4"/>
    <n v="115"/>
    <n v="9.1999999999999993"/>
    <x v="127"/>
    <x v="0"/>
    <x v="127"/>
    <x v="3"/>
    <x v="1"/>
  </r>
  <r>
    <s v="MA"/>
    <x v="25"/>
    <s v="area_code_415"/>
    <x v="0"/>
    <x v="1"/>
    <n v="0"/>
    <n v="140.4"/>
    <n v="117"/>
    <n v="23.87"/>
    <n v="204.5"/>
    <n v="121"/>
    <n v="17.38"/>
    <n v="251.3"/>
    <n v="79"/>
    <n v="11.31"/>
    <x v="6"/>
    <x v="4"/>
    <x v="6"/>
    <x v="2"/>
    <x v="0"/>
  </r>
  <r>
    <s v="WI"/>
    <x v="163"/>
    <s v="area_code_510"/>
    <x v="0"/>
    <x v="1"/>
    <n v="0"/>
    <n v="167.4"/>
    <n v="117"/>
    <n v="28.46"/>
    <n v="223.5"/>
    <n v="102"/>
    <n v="19"/>
    <n v="215.8"/>
    <n v="108"/>
    <n v="9.7100000000000009"/>
    <x v="62"/>
    <x v="0"/>
    <x v="62"/>
    <x v="0"/>
    <x v="0"/>
  </r>
  <r>
    <s v="AL"/>
    <x v="81"/>
    <s v="area_code_408"/>
    <x v="0"/>
    <x v="0"/>
    <n v="27"/>
    <n v="166.4"/>
    <n v="112"/>
    <n v="28.29"/>
    <n v="234.3"/>
    <n v="116"/>
    <n v="19.920000000000002"/>
    <n v="161.1"/>
    <n v="95"/>
    <n v="7.25"/>
    <x v="129"/>
    <x v="5"/>
    <x v="129"/>
    <x v="1"/>
    <x v="0"/>
  </r>
  <r>
    <s v="WV"/>
    <x v="18"/>
    <s v="area_code_408"/>
    <x v="0"/>
    <x v="1"/>
    <n v="0"/>
    <n v="171.5"/>
    <n v="108"/>
    <n v="29.16"/>
    <n v="204.4"/>
    <n v="106"/>
    <n v="17.37"/>
    <n v="238.8"/>
    <n v="90"/>
    <n v="10.75"/>
    <x v="85"/>
    <x v="4"/>
    <x v="85"/>
    <x v="3"/>
    <x v="0"/>
  </r>
  <r>
    <s v="CO"/>
    <x v="29"/>
    <s v="area_code_415"/>
    <x v="1"/>
    <x v="1"/>
    <n v="0"/>
    <n v="177.2"/>
    <n v="151"/>
    <n v="30.12"/>
    <n v="209.3"/>
    <n v="83"/>
    <n v="17.79"/>
    <n v="236.3"/>
    <n v="114"/>
    <n v="10.63"/>
    <x v="22"/>
    <x v="1"/>
    <x v="22"/>
    <x v="2"/>
    <x v="0"/>
  </r>
  <r>
    <s v="VA"/>
    <x v="113"/>
    <s v="area_code_415"/>
    <x v="0"/>
    <x v="0"/>
    <n v="34"/>
    <n v="114.5"/>
    <n v="64"/>
    <n v="19.47"/>
    <n v="229.3"/>
    <n v="84"/>
    <n v="19.489999999999998"/>
    <n v="288.8"/>
    <n v="68"/>
    <n v="13"/>
    <x v="91"/>
    <x v="18"/>
    <x v="91"/>
    <x v="1"/>
    <x v="0"/>
  </r>
  <r>
    <s v="NH"/>
    <x v="66"/>
    <s v="area_code_415"/>
    <x v="0"/>
    <x v="0"/>
    <n v="34"/>
    <n v="205.1"/>
    <n v="123"/>
    <n v="34.869999999999997"/>
    <n v="203.3"/>
    <n v="123"/>
    <n v="17.28"/>
    <n v="126.7"/>
    <n v="106"/>
    <n v="5.7"/>
    <x v="85"/>
    <x v="8"/>
    <x v="85"/>
    <x v="2"/>
    <x v="0"/>
  </r>
  <r>
    <s v="TN"/>
    <x v="121"/>
    <s v="area_code_415"/>
    <x v="0"/>
    <x v="1"/>
    <n v="0"/>
    <n v="208.4"/>
    <n v="112"/>
    <n v="35.43"/>
    <n v="189.5"/>
    <n v="116"/>
    <n v="16.11"/>
    <n v="264.39999999999998"/>
    <n v="101"/>
    <n v="11.9"/>
    <x v="161"/>
    <x v="8"/>
    <x v="161"/>
    <x v="1"/>
    <x v="1"/>
  </r>
  <r>
    <s v="UT"/>
    <x v="39"/>
    <s v="area_code_415"/>
    <x v="0"/>
    <x v="1"/>
    <n v="0"/>
    <n v="125.8"/>
    <n v="102"/>
    <n v="21.39"/>
    <n v="244.4"/>
    <n v="111"/>
    <n v="20.77"/>
    <n v="167.7"/>
    <n v="90"/>
    <n v="7.55"/>
    <x v="62"/>
    <x v="5"/>
    <x v="62"/>
    <x v="2"/>
    <x v="0"/>
  </r>
  <r>
    <s v="MA"/>
    <x v="96"/>
    <s v="area_code_408"/>
    <x v="0"/>
    <x v="1"/>
    <n v="0"/>
    <n v="186.2"/>
    <n v="97"/>
    <n v="31.65"/>
    <n v="257.7"/>
    <n v="89"/>
    <n v="21.9"/>
    <n v="164.3"/>
    <n v="106"/>
    <n v="7.39"/>
    <x v="34"/>
    <x v="4"/>
    <x v="34"/>
    <x v="2"/>
    <x v="0"/>
  </r>
  <r>
    <s v="KY"/>
    <x v="66"/>
    <s v="area_code_415"/>
    <x v="0"/>
    <x v="1"/>
    <n v="0"/>
    <n v="128.9"/>
    <n v="136"/>
    <n v="21.91"/>
    <n v="244.4"/>
    <n v="133"/>
    <n v="20.77"/>
    <n v="148.69999999999999"/>
    <n v="133"/>
    <n v="6.69"/>
    <x v="85"/>
    <x v="1"/>
    <x v="85"/>
    <x v="1"/>
    <x v="0"/>
  </r>
  <r>
    <s v="WY"/>
    <x v="137"/>
    <s v="area_code_415"/>
    <x v="0"/>
    <x v="0"/>
    <n v="16"/>
    <n v="257.39999999999998"/>
    <n v="91"/>
    <n v="43.76"/>
    <n v="232"/>
    <n v="101"/>
    <n v="19.72"/>
    <n v="143.19999999999999"/>
    <n v="73"/>
    <n v="6.44"/>
    <x v="20"/>
    <x v="5"/>
    <x v="20"/>
    <x v="0"/>
    <x v="0"/>
  </r>
  <r>
    <s v="DE"/>
    <x v="79"/>
    <s v="area_code_415"/>
    <x v="0"/>
    <x v="1"/>
    <n v="0"/>
    <n v="189.3"/>
    <n v="113"/>
    <n v="32.18"/>
    <n v="203.7"/>
    <n v="92"/>
    <n v="17.309999999999999"/>
    <n v="218.3"/>
    <n v="103"/>
    <n v="9.82"/>
    <x v="66"/>
    <x v="0"/>
    <x v="66"/>
    <x v="5"/>
    <x v="0"/>
  </r>
  <r>
    <s v="MI"/>
    <x v="27"/>
    <s v="area_code_415"/>
    <x v="0"/>
    <x v="0"/>
    <n v="24"/>
    <n v="50.1"/>
    <n v="134"/>
    <n v="8.52"/>
    <n v="295.8"/>
    <n v="89"/>
    <n v="25.14"/>
    <n v="111.8"/>
    <n v="115"/>
    <n v="5.03"/>
    <x v="34"/>
    <x v="3"/>
    <x v="34"/>
    <x v="1"/>
    <x v="0"/>
  </r>
  <r>
    <s v="NY"/>
    <x v="100"/>
    <s v="area_code_415"/>
    <x v="0"/>
    <x v="1"/>
    <n v="0"/>
    <n v="264.2"/>
    <n v="118"/>
    <n v="44.91"/>
    <n v="180"/>
    <n v="89"/>
    <n v="15.3"/>
    <n v="223.9"/>
    <n v="104"/>
    <n v="10.08"/>
    <x v="85"/>
    <x v="8"/>
    <x v="85"/>
    <x v="2"/>
    <x v="0"/>
  </r>
  <r>
    <s v="NH"/>
    <x v="53"/>
    <s v="area_code_408"/>
    <x v="0"/>
    <x v="1"/>
    <n v="0"/>
    <n v="192.1"/>
    <n v="80"/>
    <n v="32.659999999999997"/>
    <n v="269.3"/>
    <n v="125"/>
    <n v="22.89"/>
    <n v="259.60000000000002"/>
    <n v="97"/>
    <n v="11.68"/>
    <x v="50"/>
    <x v="4"/>
    <x v="50"/>
    <x v="2"/>
    <x v="0"/>
  </r>
  <r>
    <s v="DE"/>
    <x v="11"/>
    <s v="area_code_415"/>
    <x v="0"/>
    <x v="1"/>
    <n v="0"/>
    <n v="145.4"/>
    <n v="98"/>
    <n v="24.72"/>
    <n v="334.1"/>
    <n v="109"/>
    <n v="28.4"/>
    <n v="209.8"/>
    <n v="72"/>
    <n v="9.44"/>
    <x v="82"/>
    <x v="5"/>
    <x v="82"/>
    <x v="0"/>
    <x v="0"/>
  </r>
  <r>
    <s v="NJ"/>
    <x v="171"/>
    <s v="area_code_408"/>
    <x v="0"/>
    <x v="0"/>
    <n v="16"/>
    <n v="240.8"/>
    <n v="80"/>
    <n v="40.94"/>
    <n v="212.6"/>
    <n v="121"/>
    <n v="18.07"/>
    <n v="271.7"/>
    <n v="138"/>
    <n v="12.23"/>
    <x v="27"/>
    <x v="4"/>
    <x v="27"/>
    <x v="0"/>
    <x v="0"/>
  </r>
  <r>
    <s v="IA"/>
    <x v="155"/>
    <s v="area_code_510"/>
    <x v="0"/>
    <x v="1"/>
    <n v="0"/>
    <n v="170.7"/>
    <n v="98"/>
    <n v="29.02"/>
    <n v="111.6"/>
    <n v="109"/>
    <n v="9.49"/>
    <n v="171.5"/>
    <n v="107"/>
    <n v="7.72"/>
    <x v="104"/>
    <x v="2"/>
    <x v="104"/>
    <x v="3"/>
    <x v="0"/>
  </r>
  <r>
    <s v="OR"/>
    <x v="63"/>
    <s v="area_code_408"/>
    <x v="0"/>
    <x v="1"/>
    <n v="0"/>
    <n v="221"/>
    <n v="118"/>
    <n v="37.57"/>
    <n v="138.80000000000001"/>
    <n v="104"/>
    <n v="11.8"/>
    <n v="198.6"/>
    <n v="96"/>
    <n v="8.94"/>
    <x v="47"/>
    <x v="4"/>
    <x v="47"/>
    <x v="1"/>
    <x v="0"/>
  </r>
  <r>
    <s v="PA"/>
    <x v="145"/>
    <s v="area_code_415"/>
    <x v="0"/>
    <x v="1"/>
    <n v="0"/>
    <n v="180"/>
    <n v="109"/>
    <n v="30.6"/>
    <n v="292.7"/>
    <n v="96"/>
    <n v="24.88"/>
    <n v="194.9"/>
    <n v="114"/>
    <n v="8.77"/>
    <x v="81"/>
    <x v="4"/>
    <x v="81"/>
    <x v="1"/>
    <x v="0"/>
  </r>
  <r>
    <s v="MI"/>
    <x v="105"/>
    <s v="area_code_415"/>
    <x v="0"/>
    <x v="0"/>
    <n v="14"/>
    <n v="298.8"/>
    <n v="92"/>
    <n v="50.8"/>
    <n v="207.3"/>
    <n v="86"/>
    <n v="17.62"/>
    <n v="257.89999999999998"/>
    <n v="65"/>
    <n v="11.61"/>
    <x v="78"/>
    <x v="4"/>
    <x v="78"/>
    <x v="5"/>
    <x v="0"/>
  </r>
  <r>
    <s v="FL"/>
    <x v="48"/>
    <s v="area_code_415"/>
    <x v="0"/>
    <x v="1"/>
    <n v="0"/>
    <n v="317.10000000000002"/>
    <n v="97"/>
    <n v="53.91"/>
    <n v="224.8"/>
    <n v="70"/>
    <n v="19.11"/>
    <n v="215.1"/>
    <n v="90"/>
    <n v="9.68"/>
    <x v="109"/>
    <x v="5"/>
    <x v="109"/>
    <x v="0"/>
    <x v="1"/>
  </r>
  <r>
    <s v="PA"/>
    <x v="34"/>
    <s v="area_code_408"/>
    <x v="1"/>
    <x v="0"/>
    <n v="23"/>
    <n v="102.2"/>
    <n v="103"/>
    <n v="17.37"/>
    <n v="229.7"/>
    <n v="110"/>
    <n v="19.52"/>
    <n v="176.3"/>
    <n v="100"/>
    <n v="7.93"/>
    <x v="62"/>
    <x v="4"/>
    <x v="62"/>
    <x v="0"/>
    <x v="0"/>
  </r>
  <r>
    <s v="WV"/>
    <x v="188"/>
    <s v="area_code_408"/>
    <x v="0"/>
    <x v="1"/>
    <n v="0"/>
    <n v="182.9"/>
    <n v="87"/>
    <n v="31.09"/>
    <n v="172.1"/>
    <n v="103"/>
    <n v="14.63"/>
    <n v="233.1"/>
    <n v="89"/>
    <n v="10.49"/>
    <x v="47"/>
    <x v="0"/>
    <x v="47"/>
    <x v="4"/>
    <x v="0"/>
  </r>
  <r>
    <s v="WI"/>
    <x v="3"/>
    <s v="area_code_415"/>
    <x v="0"/>
    <x v="1"/>
    <n v="0"/>
    <n v="184.8"/>
    <n v="126"/>
    <n v="31.42"/>
    <n v="198.6"/>
    <n v="103"/>
    <n v="16.88"/>
    <n v="103"/>
    <n v="90"/>
    <n v="4.6399999999999997"/>
    <x v="24"/>
    <x v="0"/>
    <x v="24"/>
    <x v="0"/>
    <x v="0"/>
  </r>
  <r>
    <s v="TX"/>
    <x v="75"/>
    <s v="area_code_415"/>
    <x v="0"/>
    <x v="1"/>
    <n v="0"/>
    <n v="251.5"/>
    <n v="57"/>
    <n v="42.76"/>
    <n v="179.1"/>
    <n v="113"/>
    <n v="15.22"/>
    <n v="163.19999999999999"/>
    <n v="72"/>
    <n v="7.34"/>
    <x v="2"/>
    <x v="0"/>
    <x v="2"/>
    <x v="0"/>
    <x v="0"/>
  </r>
  <r>
    <s v="MS"/>
    <x v="26"/>
    <s v="area_code_510"/>
    <x v="0"/>
    <x v="1"/>
    <n v="0"/>
    <n v="131.6"/>
    <n v="102"/>
    <n v="22.37"/>
    <n v="290.39999999999998"/>
    <n v="134"/>
    <n v="24.68"/>
    <n v="190.5"/>
    <n v="95"/>
    <n v="8.57"/>
    <x v="77"/>
    <x v="13"/>
    <x v="77"/>
    <x v="3"/>
    <x v="0"/>
  </r>
  <r>
    <s v="FL"/>
    <x v="28"/>
    <s v="area_code_408"/>
    <x v="0"/>
    <x v="1"/>
    <n v="0"/>
    <n v="92.3"/>
    <n v="128"/>
    <n v="15.69"/>
    <n v="250.1"/>
    <n v="89"/>
    <n v="21.26"/>
    <n v="211.9"/>
    <n v="110"/>
    <n v="9.5399999999999991"/>
    <x v="81"/>
    <x v="18"/>
    <x v="81"/>
    <x v="3"/>
    <x v="0"/>
  </r>
  <r>
    <s v="WV"/>
    <x v="123"/>
    <s v="area_code_408"/>
    <x v="0"/>
    <x v="0"/>
    <n v="41"/>
    <n v="196.7"/>
    <n v="109"/>
    <n v="33.44"/>
    <n v="124.3"/>
    <n v="107"/>
    <n v="10.57"/>
    <n v="198.3"/>
    <n v="94"/>
    <n v="8.92"/>
    <x v="34"/>
    <x v="1"/>
    <x v="34"/>
    <x v="5"/>
    <x v="1"/>
  </r>
  <r>
    <s v="SC"/>
    <x v="26"/>
    <s v="area_code_415"/>
    <x v="0"/>
    <x v="1"/>
    <n v="0"/>
    <n v="131.4"/>
    <n v="98"/>
    <n v="22.34"/>
    <n v="189.9"/>
    <n v="95"/>
    <n v="16.14"/>
    <n v="147.4"/>
    <n v="83"/>
    <n v="6.63"/>
    <x v="7"/>
    <x v="5"/>
    <x v="7"/>
    <x v="2"/>
    <x v="0"/>
  </r>
  <r>
    <s v="GA"/>
    <x v="155"/>
    <s v="area_code_408"/>
    <x v="0"/>
    <x v="1"/>
    <n v="0"/>
    <n v="215.9"/>
    <n v="122"/>
    <n v="36.700000000000003"/>
    <n v="270.3"/>
    <n v="114"/>
    <n v="22.98"/>
    <n v="301.8"/>
    <n v="129"/>
    <n v="13.58"/>
    <x v="49"/>
    <x v="1"/>
    <x v="49"/>
    <x v="4"/>
    <x v="1"/>
  </r>
  <r>
    <s v="GA"/>
    <x v="66"/>
    <s v="area_code_408"/>
    <x v="0"/>
    <x v="1"/>
    <n v="0"/>
    <n v="158.19999999999999"/>
    <n v="95"/>
    <n v="26.89"/>
    <n v="178.5"/>
    <n v="113"/>
    <n v="15.17"/>
    <n v="154.30000000000001"/>
    <n v="76"/>
    <n v="6.94"/>
    <x v="31"/>
    <x v="1"/>
    <x v="31"/>
    <x v="2"/>
    <x v="0"/>
  </r>
  <r>
    <s v="HI"/>
    <x v="94"/>
    <s v="area_code_510"/>
    <x v="0"/>
    <x v="0"/>
    <n v="34"/>
    <n v="206.4"/>
    <n v="111"/>
    <n v="35.090000000000003"/>
    <n v="229.7"/>
    <n v="118"/>
    <n v="19.52"/>
    <n v="156.69999999999999"/>
    <n v="81"/>
    <n v="7.05"/>
    <x v="23"/>
    <x v="11"/>
    <x v="23"/>
    <x v="3"/>
    <x v="0"/>
  </r>
  <r>
    <s v="HI"/>
    <x v="7"/>
    <s v="area_code_510"/>
    <x v="0"/>
    <x v="1"/>
    <n v="0"/>
    <n v="138.19999999999999"/>
    <n v="94"/>
    <n v="23.49"/>
    <n v="176.4"/>
    <n v="84"/>
    <n v="14.99"/>
    <n v="182.9"/>
    <n v="110"/>
    <n v="8.23"/>
    <x v="22"/>
    <x v="3"/>
    <x v="22"/>
    <x v="3"/>
    <x v="0"/>
  </r>
  <r>
    <s v="MA"/>
    <x v="134"/>
    <s v="area_code_408"/>
    <x v="0"/>
    <x v="0"/>
    <n v="27"/>
    <n v="192.3"/>
    <n v="125"/>
    <n v="32.69"/>
    <n v="147.30000000000001"/>
    <n v="108"/>
    <n v="12.52"/>
    <n v="215"/>
    <n v="97"/>
    <n v="9.67"/>
    <x v="35"/>
    <x v="4"/>
    <x v="35"/>
    <x v="0"/>
    <x v="0"/>
  </r>
  <r>
    <s v="NH"/>
    <x v="158"/>
    <s v="area_code_415"/>
    <x v="0"/>
    <x v="1"/>
    <n v="0"/>
    <n v="262.10000000000002"/>
    <n v="78"/>
    <n v="44.56"/>
    <n v="171.6"/>
    <n v="113"/>
    <n v="14.59"/>
    <n v="208.7"/>
    <n v="100"/>
    <n v="9.39"/>
    <x v="58"/>
    <x v="0"/>
    <x v="58"/>
    <x v="1"/>
    <x v="0"/>
  </r>
  <r>
    <s v="AL"/>
    <x v="97"/>
    <s v="area_code_415"/>
    <x v="0"/>
    <x v="1"/>
    <n v="0"/>
    <n v="41.2"/>
    <n v="106"/>
    <n v="7"/>
    <n v="210.6"/>
    <n v="82"/>
    <n v="17.899999999999999"/>
    <n v="220.1"/>
    <n v="115"/>
    <n v="9.9"/>
    <x v="70"/>
    <x v="0"/>
    <x v="70"/>
    <x v="1"/>
    <x v="0"/>
  </r>
  <r>
    <s v="NC"/>
    <x v="28"/>
    <s v="area_code_510"/>
    <x v="0"/>
    <x v="1"/>
    <n v="0"/>
    <n v="167"/>
    <n v="60"/>
    <n v="28.39"/>
    <n v="125.1"/>
    <n v="65"/>
    <n v="10.63"/>
    <n v="262.5"/>
    <n v="100"/>
    <n v="11.81"/>
    <x v="56"/>
    <x v="5"/>
    <x v="56"/>
    <x v="0"/>
    <x v="0"/>
  </r>
  <r>
    <s v="MT"/>
    <x v="60"/>
    <s v="area_code_510"/>
    <x v="0"/>
    <x v="1"/>
    <n v="0"/>
    <n v="210.2"/>
    <n v="95"/>
    <n v="35.729999999999997"/>
    <n v="191.2"/>
    <n v="87"/>
    <n v="16.25"/>
    <n v="150.80000000000001"/>
    <n v="111"/>
    <n v="6.79"/>
    <x v="27"/>
    <x v="0"/>
    <x v="27"/>
    <x v="2"/>
    <x v="0"/>
  </r>
  <r>
    <s v="NV"/>
    <x v="108"/>
    <s v="area_code_415"/>
    <x v="0"/>
    <x v="0"/>
    <n v="39"/>
    <n v="204.9"/>
    <n v="74"/>
    <n v="34.83"/>
    <n v="210.2"/>
    <n v="80"/>
    <n v="17.87"/>
    <n v="168.8"/>
    <n v="89"/>
    <n v="7.6"/>
    <x v="7"/>
    <x v="4"/>
    <x v="7"/>
    <x v="2"/>
    <x v="0"/>
  </r>
  <r>
    <s v="SC"/>
    <x v="41"/>
    <s v="area_code_510"/>
    <x v="0"/>
    <x v="1"/>
    <n v="0"/>
    <n v="184.1"/>
    <n v="105"/>
    <n v="31.3"/>
    <n v="126.7"/>
    <n v="123"/>
    <n v="10.77"/>
    <n v="241.5"/>
    <n v="94"/>
    <n v="10.87"/>
    <x v="86"/>
    <x v="3"/>
    <x v="86"/>
    <x v="0"/>
    <x v="0"/>
  </r>
  <r>
    <s v="VA"/>
    <x v="40"/>
    <s v="area_code_510"/>
    <x v="0"/>
    <x v="1"/>
    <n v="0"/>
    <n v="263.8"/>
    <n v="84"/>
    <n v="44.85"/>
    <n v="162.80000000000001"/>
    <n v="107"/>
    <n v="13.84"/>
    <n v="149.69999999999999"/>
    <n v="94"/>
    <n v="6.74"/>
    <x v="6"/>
    <x v="3"/>
    <x v="6"/>
    <x v="2"/>
    <x v="0"/>
  </r>
  <r>
    <s v="RI"/>
    <x v="60"/>
    <s v="area_code_415"/>
    <x v="0"/>
    <x v="1"/>
    <n v="0"/>
    <n v="142.30000000000001"/>
    <n v="50"/>
    <n v="24.19"/>
    <n v="231.5"/>
    <n v="142"/>
    <n v="19.68"/>
    <n v="205.6"/>
    <n v="79"/>
    <n v="9.25"/>
    <x v="129"/>
    <x v="0"/>
    <x v="129"/>
    <x v="0"/>
    <x v="0"/>
  </r>
  <r>
    <s v="WV"/>
    <x v="20"/>
    <s v="area_code_415"/>
    <x v="0"/>
    <x v="1"/>
    <n v="0"/>
    <n v="167.1"/>
    <n v="103"/>
    <n v="28.41"/>
    <n v="188.4"/>
    <n v="112"/>
    <n v="16.010000000000002"/>
    <n v="111.4"/>
    <n v="74"/>
    <n v="5.01"/>
    <x v="9"/>
    <x v="5"/>
    <x v="9"/>
    <x v="0"/>
    <x v="0"/>
  </r>
  <r>
    <s v="ME"/>
    <x v="141"/>
    <s v="area_code_510"/>
    <x v="0"/>
    <x v="1"/>
    <n v="0"/>
    <n v="148.30000000000001"/>
    <n v="86"/>
    <n v="25.21"/>
    <n v="184.2"/>
    <n v="151"/>
    <n v="15.66"/>
    <n v="179.1"/>
    <n v="83"/>
    <n v="8.06"/>
    <x v="54"/>
    <x v="4"/>
    <x v="54"/>
    <x v="1"/>
    <x v="0"/>
  </r>
  <r>
    <s v="AL"/>
    <x v="32"/>
    <s v="area_code_510"/>
    <x v="0"/>
    <x v="1"/>
    <n v="0"/>
    <n v="297.8"/>
    <n v="88"/>
    <n v="50.63"/>
    <n v="196"/>
    <n v="89"/>
    <n v="16.66"/>
    <n v="213.7"/>
    <n v="107"/>
    <n v="9.6199999999999992"/>
    <x v="42"/>
    <x v="5"/>
    <x v="42"/>
    <x v="0"/>
    <x v="1"/>
  </r>
  <r>
    <s v="NC"/>
    <x v="36"/>
    <s v="area_code_408"/>
    <x v="1"/>
    <x v="1"/>
    <n v="0"/>
    <n v="144.5"/>
    <n v="60"/>
    <n v="24.57"/>
    <n v="296.5"/>
    <n v="129"/>
    <n v="25.2"/>
    <n v="194.3"/>
    <n v="117"/>
    <n v="8.74"/>
    <x v="70"/>
    <x v="0"/>
    <x v="70"/>
    <x v="0"/>
    <x v="0"/>
  </r>
  <r>
    <s v="MT"/>
    <x v="6"/>
    <s v="area_code_415"/>
    <x v="0"/>
    <x v="1"/>
    <n v="0"/>
    <n v="233.4"/>
    <n v="71"/>
    <n v="39.68"/>
    <n v="296.39999999999998"/>
    <n v="76"/>
    <n v="25.19"/>
    <n v="276.89999999999998"/>
    <n v="103"/>
    <n v="12.46"/>
    <x v="19"/>
    <x v="8"/>
    <x v="19"/>
    <x v="1"/>
    <x v="1"/>
  </r>
  <r>
    <s v="TN"/>
    <x v="115"/>
    <s v="area_code_415"/>
    <x v="0"/>
    <x v="1"/>
    <n v="0"/>
    <n v="130.5"/>
    <n v="98"/>
    <n v="22.19"/>
    <n v="249.5"/>
    <n v="91"/>
    <n v="21.21"/>
    <n v="219.9"/>
    <n v="117"/>
    <n v="9.9"/>
    <x v="8"/>
    <x v="8"/>
    <x v="8"/>
    <x v="3"/>
    <x v="0"/>
  </r>
  <r>
    <s v="LA"/>
    <x v="13"/>
    <s v="area_code_510"/>
    <x v="0"/>
    <x v="1"/>
    <n v="0"/>
    <n v="133.30000000000001"/>
    <n v="107"/>
    <n v="22.66"/>
    <n v="185"/>
    <n v="101"/>
    <n v="15.73"/>
    <n v="289"/>
    <n v="99"/>
    <n v="13.01"/>
    <x v="9"/>
    <x v="4"/>
    <x v="9"/>
    <x v="3"/>
    <x v="0"/>
  </r>
  <r>
    <s v="SC"/>
    <x v="73"/>
    <s v="area_code_510"/>
    <x v="0"/>
    <x v="1"/>
    <n v="0"/>
    <n v="183.7"/>
    <n v="103"/>
    <n v="31.23"/>
    <n v="270.60000000000002"/>
    <n v="97"/>
    <n v="23"/>
    <n v="132.9"/>
    <n v="104"/>
    <n v="5.98"/>
    <x v="7"/>
    <x v="5"/>
    <x v="7"/>
    <x v="1"/>
    <x v="0"/>
  </r>
  <r>
    <s v="IN"/>
    <x v="43"/>
    <s v="area_code_415"/>
    <x v="0"/>
    <x v="1"/>
    <n v="0"/>
    <n v="271"/>
    <n v="114"/>
    <n v="46.07"/>
    <n v="209.9"/>
    <n v="71"/>
    <n v="17.84"/>
    <n v="193.5"/>
    <n v="109"/>
    <n v="8.7100000000000009"/>
    <x v="0"/>
    <x v="5"/>
    <x v="0"/>
    <x v="5"/>
    <x v="1"/>
  </r>
  <r>
    <s v="IA"/>
    <x v="74"/>
    <s v="area_code_510"/>
    <x v="0"/>
    <x v="1"/>
    <n v="0"/>
    <n v="122.5"/>
    <n v="70"/>
    <n v="20.83"/>
    <n v="221.4"/>
    <n v="92"/>
    <n v="18.82"/>
    <n v="187.5"/>
    <n v="88"/>
    <n v="8.44"/>
    <x v="91"/>
    <x v="3"/>
    <x v="91"/>
    <x v="1"/>
    <x v="0"/>
  </r>
  <r>
    <s v="AK"/>
    <x v="82"/>
    <s v="area_code_415"/>
    <x v="0"/>
    <x v="1"/>
    <n v="0"/>
    <n v="182.5"/>
    <n v="85"/>
    <n v="31.03"/>
    <n v="181.5"/>
    <n v="114"/>
    <n v="15.43"/>
    <n v="199.1"/>
    <n v="110"/>
    <n v="8.9600000000000009"/>
    <x v="20"/>
    <x v="3"/>
    <x v="20"/>
    <x v="0"/>
    <x v="0"/>
  </r>
  <r>
    <s v="GA"/>
    <x v="6"/>
    <s v="area_code_510"/>
    <x v="0"/>
    <x v="1"/>
    <n v="0"/>
    <n v="110.4"/>
    <n v="122"/>
    <n v="18.77"/>
    <n v="242.9"/>
    <n v="103"/>
    <n v="20.65"/>
    <n v="170.4"/>
    <n v="75"/>
    <n v="7.67"/>
    <x v="55"/>
    <x v="1"/>
    <x v="55"/>
    <x v="0"/>
    <x v="0"/>
  </r>
  <r>
    <s v="LA"/>
    <x v="53"/>
    <s v="area_code_408"/>
    <x v="0"/>
    <x v="1"/>
    <n v="0"/>
    <n v="140.80000000000001"/>
    <n v="109"/>
    <n v="23.94"/>
    <n v="303"/>
    <n v="114"/>
    <n v="25.76"/>
    <n v="267.39999999999998"/>
    <n v="112"/>
    <n v="12.03"/>
    <x v="71"/>
    <x v="8"/>
    <x v="71"/>
    <x v="1"/>
    <x v="0"/>
  </r>
  <r>
    <s v="MI"/>
    <x v="1"/>
    <s v="area_code_415"/>
    <x v="0"/>
    <x v="1"/>
    <n v="0"/>
    <n v="137.5"/>
    <n v="102"/>
    <n v="23.38"/>
    <n v="176"/>
    <n v="98"/>
    <n v="14.96"/>
    <n v="210.6"/>
    <n v="88"/>
    <n v="9.48"/>
    <x v="91"/>
    <x v="3"/>
    <x v="91"/>
    <x v="1"/>
    <x v="0"/>
  </r>
  <r>
    <s v="FL"/>
    <x v="126"/>
    <s v="area_code_415"/>
    <x v="0"/>
    <x v="1"/>
    <n v="0"/>
    <n v="115.9"/>
    <n v="81"/>
    <n v="19.7"/>
    <n v="199.7"/>
    <n v="100"/>
    <n v="16.97"/>
    <n v="249.3"/>
    <n v="111"/>
    <n v="11.22"/>
    <x v="13"/>
    <x v="4"/>
    <x v="13"/>
    <x v="0"/>
    <x v="0"/>
  </r>
  <r>
    <s v="UT"/>
    <x v="36"/>
    <s v="area_code_408"/>
    <x v="0"/>
    <x v="1"/>
    <n v="0"/>
    <n v="288.2"/>
    <n v="108"/>
    <n v="48.99"/>
    <n v="129.6"/>
    <n v="136"/>
    <n v="11.02"/>
    <n v="229.6"/>
    <n v="73"/>
    <n v="10.33"/>
    <x v="63"/>
    <x v="1"/>
    <x v="63"/>
    <x v="4"/>
    <x v="0"/>
  </r>
  <r>
    <s v="MT"/>
    <x v="184"/>
    <s v="area_code_510"/>
    <x v="0"/>
    <x v="0"/>
    <n v="20"/>
    <n v="60.2"/>
    <n v="100"/>
    <n v="10.23"/>
    <n v="118.1"/>
    <n v="76"/>
    <n v="10.039999999999999"/>
    <n v="230.1"/>
    <n v="131"/>
    <n v="10.35"/>
    <x v="64"/>
    <x v="4"/>
    <x v="64"/>
    <x v="0"/>
    <x v="0"/>
  </r>
  <r>
    <s v="OR"/>
    <x v="188"/>
    <s v="area_code_510"/>
    <x v="0"/>
    <x v="1"/>
    <n v="0"/>
    <n v="125.5"/>
    <n v="100"/>
    <n v="21.34"/>
    <n v="266.2"/>
    <n v="78"/>
    <n v="22.63"/>
    <n v="270.39999999999998"/>
    <n v="119"/>
    <n v="12.17"/>
    <x v="96"/>
    <x v="3"/>
    <x v="96"/>
    <x v="3"/>
    <x v="1"/>
  </r>
  <r>
    <s v="AL"/>
    <x v="64"/>
    <s v="area_code_415"/>
    <x v="0"/>
    <x v="0"/>
    <n v="27"/>
    <n v="179.6"/>
    <n v="142"/>
    <n v="30.53"/>
    <n v="262.8"/>
    <n v="103"/>
    <n v="22.34"/>
    <n v="239.9"/>
    <n v="81"/>
    <n v="10.8"/>
    <x v="22"/>
    <x v="5"/>
    <x v="22"/>
    <x v="0"/>
    <x v="0"/>
  </r>
  <r>
    <s v="AR"/>
    <x v="19"/>
    <s v="area_code_415"/>
    <x v="0"/>
    <x v="1"/>
    <n v="0"/>
    <n v="99"/>
    <n v="126"/>
    <n v="16.829999999999998"/>
    <n v="189.4"/>
    <n v="76"/>
    <n v="16.100000000000001"/>
    <n v="156.30000000000001"/>
    <n v="108"/>
    <n v="7.03"/>
    <x v="80"/>
    <x v="0"/>
    <x v="80"/>
    <x v="0"/>
    <x v="0"/>
  </r>
  <r>
    <s v="MD"/>
    <x v="116"/>
    <s v="area_code_408"/>
    <x v="0"/>
    <x v="1"/>
    <n v="0"/>
    <n v="155.4"/>
    <n v="71"/>
    <n v="26.42"/>
    <n v="84"/>
    <n v="122"/>
    <n v="7.14"/>
    <n v="229.1"/>
    <n v="97"/>
    <n v="10.31"/>
    <x v="41"/>
    <x v="8"/>
    <x v="41"/>
    <x v="0"/>
    <x v="0"/>
  </r>
  <r>
    <s v="ND"/>
    <x v="142"/>
    <s v="area_code_408"/>
    <x v="0"/>
    <x v="1"/>
    <n v="0"/>
    <n v="177.4"/>
    <n v="107"/>
    <n v="30.16"/>
    <n v="204.7"/>
    <n v="104"/>
    <n v="17.399999999999999"/>
    <n v="141.9"/>
    <n v="123"/>
    <n v="6.39"/>
    <x v="51"/>
    <x v="6"/>
    <x v="51"/>
    <x v="3"/>
    <x v="0"/>
  </r>
  <r>
    <s v="NH"/>
    <x v="9"/>
    <s v="area_code_510"/>
    <x v="0"/>
    <x v="1"/>
    <n v="0"/>
    <n v="233.6"/>
    <n v="72"/>
    <n v="39.71"/>
    <n v="168"/>
    <n v="103"/>
    <n v="14.28"/>
    <n v="276.3"/>
    <n v="71"/>
    <n v="12.43"/>
    <x v="21"/>
    <x v="5"/>
    <x v="21"/>
    <x v="2"/>
    <x v="0"/>
  </r>
  <r>
    <s v="ID"/>
    <x v="48"/>
    <s v="area_code_408"/>
    <x v="0"/>
    <x v="1"/>
    <n v="0"/>
    <n v="210.2"/>
    <n v="109"/>
    <n v="35.729999999999997"/>
    <n v="199.4"/>
    <n v="81"/>
    <n v="16.95"/>
    <n v="173.3"/>
    <n v="94"/>
    <n v="7.8"/>
    <x v="79"/>
    <x v="4"/>
    <x v="79"/>
    <x v="3"/>
    <x v="0"/>
  </r>
  <r>
    <s v="MS"/>
    <x v="19"/>
    <s v="area_code_510"/>
    <x v="0"/>
    <x v="1"/>
    <n v="0"/>
    <n v="126.8"/>
    <n v="83"/>
    <n v="21.56"/>
    <n v="243.2"/>
    <n v="97"/>
    <n v="20.67"/>
    <n v="223.4"/>
    <n v="106"/>
    <n v="10.050000000000001"/>
    <x v="5"/>
    <x v="1"/>
    <x v="5"/>
    <x v="3"/>
    <x v="0"/>
  </r>
  <r>
    <s v="KS"/>
    <x v="114"/>
    <s v="area_code_510"/>
    <x v="0"/>
    <x v="0"/>
    <n v="41"/>
    <n v="187.1"/>
    <n v="80"/>
    <n v="31.81"/>
    <n v="286.10000000000002"/>
    <n v="77"/>
    <n v="24.32"/>
    <n v="188"/>
    <n v="107"/>
    <n v="8.4600000000000009"/>
    <x v="91"/>
    <x v="5"/>
    <x v="91"/>
    <x v="0"/>
    <x v="0"/>
  </r>
  <r>
    <s v="CT"/>
    <x v="76"/>
    <s v="area_code_408"/>
    <x v="0"/>
    <x v="1"/>
    <n v="0"/>
    <n v="155.80000000000001"/>
    <n v="91"/>
    <n v="26.49"/>
    <n v="103.7"/>
    <n v="85"/>
    <n v="8.81"/>
    <n v="117.2"/>
    <n v="125"/>
    <n v="5.27"/>
    <x v="53"/>
    <x v="0"/>
    <x v="53"/>
    <x v="2"/>
    <x v="0"/>
  </r>
  <r>
    <s v="NJ"/>
    <x v="13"/>
    <s v="area_code_510"/>
    <x v="0"/>
    <x v="1"/>
    <n v="0"/>
    <n v="232.1"/>
    <n v="130"/>
    <n v="39.46"/>
    <n v="150.69999999999999"/>
    <n v="75"/>
    <n v="12.81"/>
    <n v="253.9"/>
    <n v="77"/>
    <n v="11.43"/>
    <x v="14"/>
    <x v="0"/>
    <x v="14"/>
    <x v="1"/>
    <x v="0"/>
  </r>
  <r>
    <s v="SC"/>
    <x v="33"/>
    <s v="area_code_415"/>
    <x v="0"/>
    <x v="1"/>
    <n v="0"/>
    <n v="128.69999999999999"/>
    <n v="85"/>
    <n v="21.88"/>
    <n v="169.8"/>
    <n v="121"/>
    <n v="14.43"/>
    <n v="207.3"/>
    <n v="98"/>
    <n v="9.33"/>
    <x v="26"/>
    <x v="4"/>
    <x v="26"/>
    <x v="3"/>
    <x v="0"/>
  </r>
  <r>
    <s v="VA"/>
    <x v="48"/>
    <s v="area_code_408"/>
    <x v="0"/>
    <x v="0"/>
    <n v="30"/>
    <n v="208.9"/>
    <n v="87"/>
    <n v="35.51"/>
    <n v="145.19999999999999"/>
    <n v="89"/>
    <n v="12.34"/>
    <n v="198.2"/>
    <n v="77"/>
    <n v="8.92"/>
    <x v="130"/>
    <x v="1"/>
    <x v="130"/>
    <x v="2"/>
    <x v="0"/>
  </r>
  <r>
    <s v="FL"/>
    <x v="87"/>
    <s v="area_code_510"/>
    <x v="0"/>
    <x v="0"/>
    <n v="24"/>
    <n v="121.6"/>
    <n v="100"/>
    <n v="20.67"/>
    <n v="108.3"/>
    <n v="77"/>
    <n v="9.2100000000000009"/>
    <n v="206.3"/>
    <n v="98"/>
    <n v="9.2799999999999994"/>
    <x v="10"/>
    <x v="5"/>
    <x v="10"/>
    <x v="5"/>
    <x v="1"/>
  </r>
  <r>
    <s v="AZ"/>
    <x v="76"/>
    <s v="area_code_415"/>
    <x v="0"/>
    <x v="1"/>
    <n v="0"/>
    <n v="145"/>
    <n v="106"/>
    <n v="24.65"/>
    <n v="230.3"/>
    <n v="99"/>
    <n v="19.579999999999998"/>
    <n v="164.9"/>
    <n v="103"/>
    <n v="7.42"/>
    <x v="8"/>
    <x v="0"/>
    <x v="8"/>
    <x v="0"/>
    <x v="0"/>
  </r>
  <r>
    <s v="OR"/>
    <x v="155"/>
    <s v="area_code_415"/>
    <x v="0"/>
    <x v="1"/>
    <n v="0"/>
    <n v="243.3"/>
    <n v="101"/>
    <n v="41.36"/>
    <n v="109.2"/>
    <n v="99"/>
    <n v="9.2799999999999994"/>
    <n v="176.9"/>
    <n v="138"/>
    <n v="7.96"/>
    <x v="38"/>
    <x v="0"/>
    <x v="38"/>
    <x v="1"/>
    <x v="0"/>
  </r>
  <r>
    <s v="TX"/>
    <x v="147"/>
    <s v="area_code_510"/>
    <x v="0"/>
    <x v="1"/>
    <n v="0"/>
    <n v="214.8"/>
    <n v="60"/>
    <n v="36.520000000000003"/>
    <n v="173.8"/>
    <n v="70"/>
    <n v="14.77"/>
    <n v="166.7"/>
    <n v="90"/>
    <n v="7.5"/>
    <x v="54"/>
    <x v="5"/>
    <x v="54"/>
    <x v="0"/>
    <x v="0"/>
  </r>
  <r>
    <s v="MD"/>
    <x v="49"/>
    <s v="area_code_510"/>
    <x v="0"/>
    <x v="1"/>
    <n v="0"/>
    <n v="184.5"/>
    <n v="56"/>
    <n v="31.37"/>
    <n v="197.7"/>
    <n v="91"/>
    <n v="16.8"/>
    <n v="242.3"/>
    <n v="74"/>
    <n v="10.9"/>
    <x v="7"/>
    <x v="0"/>
    <x v="7"/>
    <x v="2"/>
    <x v="0"/>
  </r>
  <r>
    <s v="WV"/>
    <x v="1"/>
    <s v="area_code_415"/>
    <x v="0"/>
    <x v="1"/>
    <n v="0"/>
    <n v="84.3"/>
    <n v="98"/>
    <n v="14.33"/>
    <n v="259.5"/>
    <n v="115"/>
    <n v="22.06"/>
    <n v="197.5"/>
    <n v="115"/>
    <n v="8.89"/>
    <x v="19"/>
    <x v="5"/>
    <x v="19"/>
    <x v="2"/>
    <x v="0"/>
  </r>
  <r>
    <s v="GA"/>
    <x v="62"/>
    <s v="area_code_408"/>
    <x v="0"/>
    <x v="1"/>
    <n v="0"/>
    <n v="142.9"/>
    <n v="70"/>
    <n v="24.29"/>
    <n v="221.6"/>
    <n v="83"/>
    <n v="18.84"/>
    <n v="121.4"/>
    <n v="111"/>
    <n v="5.46"/>
    <x v="126"/>
    <x v="4"/>
    <x v="126"/>
    <x v="0"/>
    <x v="0"/>
  </r>
  <r>
    <s v="VA"/>
    <x v="112"/>
    <s v="area_code_415"/>
    <x v="0"/>
    <x v="1"/>
    <n v="0"/>
    <n v="120.6"/>
    <n v="82"/>
    <n v="20.5"/>
    <n v="238.3"/>
    <n v="96"/>
    <n v="20.260000000000002"/>
    <n v="219.8"/>
    <n v="125"/>
    <n v="9.89"/>
    <x v="37"/>
    <x v="1"/>
    <x v="37"/>
    <x v="1"/>
    <x v="0"/>
  </r>
  <r>
    <s v="NE"/>
    <x v="64"/>
    <s v="area_code_415"/>
    <x v="0"/>
    <x v="0"/>
    <n v="40"/>
    <n v="222.2"/>
    <n v="80"/>
    <n v="37.770000000000003"/>
    <n v="223.1"/>
    <n v="84"/>
    <n v="18.96"/>
    <n v="164"/>
    <n v="65"/>
    <n v="7.38"/>
    <x v="47"/>
    <x v="0"/>
    <x v="47"/>
    <x v="0"/>
    <x v="0"/>
  </r>
  <r>
    <s v="TX"/>
    <x v="13"/>
    <s v="area_code_408"/>
    <x v="0"/>
    <x v="0"/>
    <n v="21"/>
    <n v="219.3"/>
    <n v="132"/>
    <n v="37.28"/>
    <n v="218.2"/>
    <n v="105"/>
    <n v="18.55"/>
    <n v="267.60000000000002"/>
    <n v="95"/>
    <n v="12.04"/>
    <x v="135"/>
    <x v="5"/>
    <x v="135"/>
    <x v="2"/>
    <x v="0"/>
  </r>
  <r>
    <s v="VA"/>
    <x v="78"/>
    <s v="area_code_415"/>
    <x v="0"/>
    <x v="1"/>
    <n v="0"/>
    <n v="230.2"/>
    <n v="100"/>
    <n v="39.130000000000003"/>
    <n v="174.1"/>
    <n v="100"/>
    <n v="14.8"/>
    <n v="194.1"/>
    <n v="112"/>
    <n v="8.73"/>
    <x v="62"/>
    <x v="12"/>
    <x v="62"/>
    <x v="2"/>
    <x v="0"/>
  </r>
  <r>
    <s v="DC"/>
    <x v="101"/>
    <s v="area_code_415"/>
    <x v="0"/>
    <x v="0"/>
    <n v="22"/>
    <n v="76.099999999999994"/>
    <n v="115"/>
    <n v="12.94"/>
    <n v="171.2"/>
    <n v="119"/>
    <n v="14.55"/>
    <n v="246.3"/>
    <n v="126"/>
    <n v="11.08"/>
    <x v="120"/>
    <x v="5"/>
    <x v="120"/>
    <x v="1"/>
    <x v="0"/>
  </r>
  <r>
    <s v="NE"/>
    <x v="85"/>
    <s v="area_code_415"/>
    <x v="1"/>
    <x v="1"/>
    <n v="0"/>
    <n v="147.69999999999999"/>
    <n v="105"/>
    <n v="25.11"/>
    <n v="184.1"/>
    <n v="68"/>
    <n v="15.65"/>
    <n v="153.5"/>
    <n v="102"/>
    <n v="6.91"/>
    <x v="8"/>
    <x v="1"/>
    <x v="8"/>
    <x v="1"/>
    <x v="0"/>
  </r>
  <r>
    <s v="MS"/>
    <x v="43"/>
    <s v="area_code_408"/>
    <x v="1"/>
    <x v="1"/>
    <n v="0"/>
    <n v="139.4"/>
    <n v="102"/>
    <n v="23.7"/>
    <n v="261.8"/>
    <n v="97"/>
    <n v="22.25"/>
    <n v="167.4"/>
    <n v="101"/>
    <n v="7.53"/>
    <x v="26"/>
    <x v="4"/>
    <x v="26"/>
    <x v="0"/>
    <x v="0"/>
  </r>
  <r>
    <s v="TN"/>
    <x v="67"/>
    <s v="area_code_510"/>
    <x v="0"/>
    <x v="0"/>
    <n v="23"/>
    <n v="196"/>
    <n v="91"/>
    <n v="33.32"/>
    <n v="156.30000000000001"/>
    <n v="107"/>
    <n v="13.29"/>
    <n v="200.5"/>
    <n v="68"/>
    <n v="9.02"/>
    <x v="107"/>
    <x v="5"/>
    <x v="107"/>
    <x v="0"/>
    <x v="0"/>
  </r>
  <r>
    <s v="ID"/>
    <x v="96"/>
    <s v="area_code_510"/>
    <x v="0"/>
    <x v="1"/>
    <n v="0"/>
    <n v="160.80000000000001"/>
    <n v="73"/>
    <n v="27.34"/>
    <n v="170.4"/>
    <n v="112"/>
    <n v="14.48"/>
    <n v="249.2"/>
    <n v="131"/>
    <n v="11.21"/>
    <x v="68"/>
    <x v="0"/>
    <x v="68"/>
    <x v="0"/>
    <x v="0"/>
  </r>
  <r>
    <s v="KS"/>
    <x v="73"/>
    <s v="area_code_510"/>
    <x v="0"/>
    <x v="1"/>
    <n v="0"/>
    <n v="325.39999999999998"/>
    <n v="73"/>
    <n v="55.32"/>
    <n v="127.8"/>
    <n v="100"/>
    <n v="10.86"/>
    <n v="209.9"/>
    <n v="98"/>
    <n v="9.4499999999999993"/>
    <x v="38"/>
    <x v="11"/>
    <x v="38"/>
    <x v="0"/>
    <x v="1"/>
  </r>
  <r>
    <s v="NM"/>
    <x v="77"/>
    <s v="area_code_415"/>
    <x v="0"/>
    <x v="1"/>
    <n v="0"/>
    <n v="198.2"/>
    <n v="92"/>
    <n v="33.69"/>
    <n v="147.1"/>
    <n v="97"/>
    <n v="12.5"/>
    <n v="199.6"/>
    <n v="76"/>
    <n v="8.98"/>
    <x v="116"/>
    <x v="4"/>
    <x v="116"/>
    <x v="4"/>
    <x v="0"/>
  </r>
  <r>
    <s v="WV"/>
    <x v="66"/>
    <s v="area_code_415"/>
    <x v="1"/>
    <x v="1"/>
    <n v="0"/>
    <n v="168.8"/>
    <n v="86"/>
    <n v="28.7"/>
    <n v="237.6"/>
    <n v="98"/>
    <n v="20.2"/>
    <n v="204.3"/>
    <n v="94"/>
    <n v="9.19"/>
    <x v="58"/>
    <x v="6"/>
    <x v="58"/>
    <x v="0"/>
    <x v="0"/>
  </r>
  <r>
    <s v="AL"/>
    <x v="55"/>
    <s v="area_code_415"/>
    <x v="0"/>
    <x v="1"/>
    <n v="0"/>
    <n v="273.8"/>
    <n v="99"/>
    <n v="46.55"/>
    <n v="123.8"/>
    <n v="110"/>
    <n v="10.52"/>
    <n v="147.69999999999999"/>
    <n v="61"/>
    <n v="6.65"/>
    <x v="72"/>
    <x v="4"/>
    <x v="72"/>
    <x v="2"/>
    <x v="0"/>
  </r>
  <r>
    <s v="CO"/>
    <x v="144"/>
    <s v="area_code_415"/>
    <x v="0"/>
    <x v="1"/>
    <n v="0"/>
    <n v="217.7"/>
    <n v="114"/>
    <n v="37.01"/>
    <n v="182"/>
    <n v="105"/>
    <n v="15.47"/>
    <n v="113.5"/>
    <n v="87"/>
    <n v="5.1100000000000003"/>
    <x v="31"/>
    <x v="11"/>
    <x v="31"/>
    <x v="4"/>
    <x v="0"/>
  </r>
  <r>
    <s v="NJ"/>
    <x v="75"/>
    <s v="area_code_415"/>
    <x v="0"/>
    <x v="1"/>
    <n v="0"/>
    <n v="93.5"/>
    <n v="110"/>
    <n v="15.9"/>
    <n v="213.3"/>
    <n v="79"/>
    <n v="18.13"/>
    <n v="171.7"/>
    <n v="83"/>
    <n v="7.73"/>
    <x v="56"/>
    <x v="4"/>
    <x v="56"/>
    <x v="4"/>
    <x v="1"/>
  </r>
  <r>
    <s v="ID"/>
    <x v="143"/>
    <s v="area_code_415"/>
    <x v="0"/>
    <x v="1"/>
    <n v="0"/>
    <n v="195.4"/>
    <n v="104"/>
    <n v="33.22"/>
    <n v="204.9"/>
    <n v="91"/>
    <n v="17.420000000000002"/>
    <n v="230.2"/>
    <n v="95"/>
    <n v="10.36"/>
    <x v="100"/>
    <x v="4"/>
    <x v="100"/>
    <x v="1"/>
    <x v="0"/>
  </r>
  <r>
    <s v="WA"/>
    <x v="49"/>
    <s v="area_code_510"/>
    <x v="0"/>
    <x v="0"/>
    <n v="42"/>
    <n v="247.8"/>
    <n v="96"/>
    <n v="42.13"/>
    <n v="159.1"/>
    <n v="98"/>
    <n v="13.52"/>
    <n v="201.8"/>
    <n v="73"/>
    <n v="9.08"/>
    <x v="15"/>
    <x v="0"/>
    <x v="15"/>
    <x v="2"/>
    <x v="0"/>
  </r>
  <r>
    <s v="DC"/>
    <x v="28"/>
    <s v="area_code_415"/>
    <x v="0"/>
    <x v="1"/>
    <n v="0"/>
    <n v="162.5"/>
    <n v="81"/>
    <n v="27.63"/>
    <n v="159.19999999999999"/>
    <n v="114"/>
    <n v="13.53"/>
    <n v="157.19999999999999"/>
    <n v="97"/>
    <n v="7.07"/>
    <x v="84"/>
    <x v="8"/>
    <x v="84"/>
    <x v="2"/>
    <x v="0"/>
  </r>
  <r>
    <s v="TX"/>
    <x v="28"/>
    <s v="area_code_510"/>
    <x v="0"/>
    <x v="1"/>
    <n v="0"/>
    <n v="86.1"/>
    <n v="78"/>
    <n v="14.64"/>
    <n v="222.7"/>
    <n v="130"/>
    <n v="18.93"/>
    <n v="155"/>
    <n v="124"/>
    <n v="6.98"/>
    <x v="62"/>
    <x v="2"/>
    <x v="62"/>
    <x v="1"/>
    <x v="0"/>
  </r>
  <r>
    <s v="HI"/>
    <x v="26"/>
    <s v="area_code_408"/>
    <x v="0"/>
    <x v="1"/>
    <n v="0"/>
    <n v="89.1"/>
    <n v="124"/>
    <n v="15.15"/>
    <n v="226.6"/>
    <n v="121"/>
    <n v="19.260000000000002"/>
    <n v="249.2"/>
    <n v="88"/>
    <n v="11.21"/>
    <x v="72"/>
    <x v="1"/>
    <x v="72"/>
    <x v="1"/>
    <x v="0"/>
  </r>
  <r>
    <s v="LA"/>
    <x v="133"/>
    <s v="area_code_510"/>
    <x v="0"/>
    <x v="1"/>
    <n v="0"/>
    <n v="189.7"/>
    <n v="122"/>
    <n v="32.25"/>
    <n v="178.9"/>
    <n v="72"/>
    <n v="15.21"/>
    <n v="244.7"/>
    <n v="93"/>
    <n v="11.01"/>
    <x v="52"/>
    <x v="1"/>
    <x v="52"/>
    <x v="1"/>
    <x v="0"/>
  </r>
  <r>
    <s v="MD"/>
    <x v="37"/>
    <s v="area_code_510"/>
    <x v="0"/>
    <x v="1"/>
    <n v="0"/>
    <n v="190.8"/>
    <n v="100"/>
    <n v="32.44"/>
    <n v="196"/>
    <n v="85"/>
    <n v="16.66"/>
    <n v="151.69999999999999"/>
    <n v="110"/>
    <n v="6.83"/>
    <x v="79"/>
    <x v="6"/>
    <x v="79"/>
    <x v="1"/>
    <x v="0"/>
  </r>
  <r>
    <s v="MN"/>
    <x v="48"/>
    <s v="area_code_408"/>
    <x v="0"/>
    <x v="1"/>
    <n v="0"/>
    <n v="198.6"/>
    <n v="115"/>
    <n v="33.76"/>
    <n v="258"/>
    <n v="106"/>
    <n v="21.93"/>
    <n v="245.8"/>
    <n v="104"/>
    <n v="11.06"/>
    <x v="39"/>
    <x v="3"/>
    <x v="39"/>
    <x v="0"/>
    <x v="1"/>
  </r>
  <r>
    <s v="RI"/>
    <x v="116"/>
    <s v="area_code_415"/>
    <x v="0"/>
    <x v="1"/>
    <n v="0"/>
    <n v="176.5"/>
    <n v="105"/>
    <n v="30.01"/>
    <n v="198.6"/>
    <n v="136"/>
    <n v="16.88"/>
    <n v="210.2"/>
    <n v="150"/>
    <n v="9.4600000000000009"/>
    <x v="18"/>
    <x v="1"/>
    <x v="18"/>
    <x v="1"/>
    <x v="0"/>
  </r>
  <r>
    <s v="PA"/>
    <x v="5"/>
    <s v="area_code_415"/>
    <x v="0"/>
    <x v="1"/>
    <n v="0"/>
    <n v="188.3"/>
    <n v="80"/>
    <n v="32.01"/>
    <n v="214.7"/>
    <n v="123"/>
    <n v="18.25"/>
    <n v="218"/>
    <n v="89"/>
    <n v="9.81"/>
    <x v="39"/>
    <x v="4"/>
    <x v="39"/>
    <x v="2"/>
    <x v="0"/>
  </r>
  <r>
    <s v="NV"/>
    <x v="138"/>
    <s v="area_code_510"/>
    <x v="0"/>
    <x v="1"/>
    <n v="0"/>
    <n v="197.6"/>
    <n v="105"/>
    <n v="33.590000000000003"/>
    <n v="206.4"/>
    <n v="88"/>
    <n v="17.54"/>
    <n v="169.6"/>
    <n v="143"/>
    <n v="7.63"/>
    <x v="63"/>
    <x v="5"/>
    <x v="63"/>
    <x v="3"/>
    <x v="0"/>
  </r>
  <r>
    <s v="ND"/>
    <x v="7"/>
    <s v="area_code_415"/>
    <x v="0"/>
    <x v="1"/>
    <n v="0"/>
    <n v="208.5"/>
    <n v="129"/>
    <n v="35.450000000000003"/>
    <n v="190.3"/>
    <n v="86"/>
    <n v="16.18"/>
    <n v="144.69999999999999"/>
    <n v="93"/>
    <n v="6.51"/>
    <x v="42"/>
    <x v="6"/>
    <x v="42"/>
    <x v="0"/>
    <x v="0"/>
  </r>
  <r>
    <s v="MO"/>
    <x v="137"/>
    <s v="area_code_510"/>
    <x v="0"/>
    <x v="1"/>
    <n v="0"/>
    <n v="261"/>
    <n v="83"/>
    <n v="44.37"/>
    <n v="144.19999999999999"/>
    <n v="95"/>
    <n v="12.26"/>
    <n v="284.39999999999998"/>
    <n v="119"/>
    <n v="12.8"/>
    <x v="122"/>
    <x v="8"/>
    <x v="122"/>
    <x v="4"/>
    <x v="0"/>
  </r>
  <r>
    <s v="OH"/>
    <x v="155"/>
    <s v="area_code_415"/>
    <x v="0"/>
    <x v="1"/>
    <n v="0"/>
    <n v="209.6"/>
    <n v="94"/>
    <n v="35.630000000000003"/>
    <n v="193.1"/>
    <n v="106"/>
    <n v="16.41"/>
    <n v="239.9"/>
    <n v="90"/>
    <n v="10.8"/>
    <x v="70"/>
    <x v="4"/>
    <x v="70"/>
    <x v="1"/>
    <x v="0"/>
  </r>
  <r>
    <s v="UT"/>
    <x v="162"/>
    <s v="area_code_408"/>
    <x v="0"/>
    <x v="1"/>
    <n v="0"/>
    <n v="157.80000000000001"/>
    <n v="96"/>
    <n v="26.83"/>
    <n v="160"/>
    <n v="120"/>
    <n v="13.6"/>
    <n v="198.8"/>
    <n v="112"/>
    <n v="8.9499999999999993"/>
    <x v="0"/>
    <x v="3"/>
    <x v="0"/>
    <x v="3"/>
    <x v="0"/>
  </r>
  <r>
    <s v="DE"/>
    <x v="147"/>
    <s v="area_code_408"/>
    <x v="0"/>
    <x v="1"/>
    <n v="0"/>
    <n v="245.4"/>
    <n v="82"/>
    <n v="41.72"/>
    <n v="260.3"/>
    <n v="124"/>
    <n v="22.13"/>
    <n v="195.1"/>
    <n v="82"/>
    <n v="8.7799999999999994"/>
    <x v="26"/>
    <x v="0"/>
    <x v="26"/>
    <x v="3"/>
    <x v="1"/>
  </r>
  <r>
    <s v="CT"/>
    <x v="42"/>
    <s v="area_code_415"/>
    <x v="0"/>
    <x v="1"/>
    <n v="0"/>
    <n v="72.2"/>
    <n v="80"/>
    <n v="12.27"/>
    <n v="173.4"/>
    <n v="81"/>
    <n v="14.74"/>
    <n v="130.1"/>
    <n v="121"/>
    <n v="5.85"/>
    <x v="34"/>
    <x v="1"/>
    <x v="34"/>
    <x v="2"/>
    <x v="0"/>
  </r>
  <r>
    <s v="NH"/>
    <x v="133"/>
    <s v="area_code_510"/>
    <x v="0"/>
    <x v="0"/>
    <n v="25"/>
    <n v="152.9"/>
    <n v="106"/>
    <n v="25.99"/>
    <n v="205.5"/>
    <n v="147"/>
    <n v="17.47"/>
    <n v="247.3"/>
    <n v="107"/>
    <n v="11.13"/>
    <x v="40"/>
    <x v="1"/>
    <x v="40"/>
    <x v="0"/>
    <x v="0"/>
  </r>
  <r>
    <s v="ID"/>
    <x v="121"/>
    <s v="area_code_415"/>
    <x v="0"/>
    <x v="0"/>
    <n v="15"/>
    <n v="274"/>
    <n v="83"/>
    <n v="46.58"/>
    <n v="192.2"/>
    <n v="97"/>
    <n v="16.34"/>
    <n v="125.9"/>
    <n v="141"/>
    <n v="5.67"/>
    <x v="78"/>
    <x v="5"/>
    <x v="78"/>
    <x v="1"/>
    <x v="0"/>
  </r>
  <r>
    <s v="LA"/>
    <x v="118"/>
    <s v="area_code_415"/>
    <x v="0"/>
    <x v="1"/>
    <n v="0"/>
    <n v="178.2"/>
    <n v="109"/>
    <n v="30.29"/>
    <n v="254.6"/>
    <n v="93"/>
    <n v="21.64"/>
    <n v="241.3"/>
    <n v="139"/>
    <n v="10.86"/>
    <x v="31"/>
    <x v="2"/>
    <x v="31"/>
    <x v="1"/>
    <x v="0"/>
  </r>
  <r>
    <s v="VA"/>
    <x v="26"/>
    <s v="area_code_415"/>
    <x v="1"/>
    <x v="0"/>
    <n v="20"/>
    <n v="252.8"/>
    <n v="102"/>
    <n v="42.98"/>
    <n v="217.6"/>
    <n v="105"/>
    <n v="18.5"/>
    <n v="107.3"/>
    <n v="93"/>
    <n v="4.83"/>
    <x v="7"/>
    <x v="0"/>
    <x v="7"/>
    <x v="1"/>
    <x v="0"/>
  </r>
  <r>
    <s v="ID"/>
    <x v="67"/>
    <s v="area_code_415"/>
    <x v="0"/>
    <x v="1"/>
    <n v="0"/>
    <n v="216.2"/>
    <n v="100"/>
    <n v="36.75"/>
    <n v="182.8"/>
    <n v="136"/>
    <n v="15.54"/>
    <n v="237.9"/>
    <n v="66"/>
    <n v="10.71"/>
    <x v="35"/>
    <x v="0"/>
    <x v="35"/>
    <x v="2"/>
    <x v="0"/>
  </r>
  <r>
    <s v="VA"/>
    <x v="96"/>
    <s v="area_code_408"/>
    <x v="0"/>
    <x v="1"/>
    <n v="0"/>
    <n v="165.1"/>
    <n v="120"/>
    <n v="28.07"/>
    <n v="290.2"/>
    <n v="79"/>
    <n v="24.67"/>
    <n v="250.3"/>
    <n v="140"/>
    <n v="11.26"/>
    <x v="111"/>
    <x v="5"/>
    <x v="111"/>
    <x v="1"/>
    <x v="0"/>
  </r>
  <r>
    <s v="AL"/>
    <x v="43"/>
    <s v="area_code_408"/>
    <x v="0"/>
    <x v="1"/>
    <n v="0"/>
    <n v="133.80000000000001"/>
    <n v="88"/>
    <n v="22.75"/>
    <n v="177.1"/>
    <n v="103"/>
    <n v="15.05"/>
    <n v="185.2"/>
    <n v="106"/>
    <n v="8.33"/>
    <x v="70"/>
    <x v="4"/>
    <x v="70"/>
    <x v="2"/>
    <x v="0"/>
  </r>
  <r>
    <s v="VT"/>
    <x v="171"/>
    <s v="area_code_415"/>
    <x v="0"/>
    <x v="1"/>
    <n v="0"/>
    <n v="217.2"/>
    <n v="122"/>
    <n v="36.92"/>
    <n v="303.2"/>
    <n v="58"/>
    <n v="25.77"/>
    <n v="147.30000000000001"/>
    <n v="114"/>
    <n v="6.63"/>
    <x v="100"/>
    <x v="4"/>
    <x v="100"/>
    <x v="2"/>
    <x v="0"/>
  </r>
  <r>
    <s v="MS"/>
    <x v="184"/>
    <s v="area_code_415"/>
    <x v="0"/>
    <x v="1"/>
    <n v="0"/>
    <n v="82.1"/>
    <n v="75"/>
    <n v="13.96"/>
    <n v="201.2"/>
    <n v="95"/>
    <n v="17.100000000000001"/>
    <n v="206.7"/>
    <n v="146"/>
    <n v="9.3000000000000007"/>
    <x v="63"/>
    <x v="5"/>
    <x v="63"/>
    <x v="0"/>
    <x v="0"/>
  </r>
  <r>
    <s v="HI"/>
    <x v="62"/>
    <s v="area_code_510"/>
    <x v="0"/>
    <x v="1"/>
    <n v="0"/>
    <n v="157.1"/>
    <n v="77"/>
    <n v="26.71"/>
    <n v="302"/>
    <n v="69"/>
    <n v="25.67"/>
    <n v="317.89999999999998"/>
    <n v="159"/>
    <n v="14.31"/>
    <x v="95"/>
    <x v="4"/>
    <x v="95"/>
    <x v="1"/>
    <x v="0"/>
  </r>
  <r>
    <s v="OH"/>
    <x v="58"/>
    <s v="area_code_510"/>
    <x v="0"/>
    <x v="0"/>
    <n v="23"/>
    <n v="205.5"/>
    <n v="95"/>
    <n v="34.94"/>
    <n v="224.3"/>
    <n v="80"/>
    <n v="19.07"/>
    <n v="196.1"/>
    <n v="76"/>
    <n v="8.82"/>
    <x v="84"/>
    <x v="4"/>
    <x v="84"/>
    <x v="0"/>
    <x v="0"/>
  </r>
  <r>
    <s v="NY"/>
    <x v="126"/>
    <s v="area_code_510"/>
    <x v="0"/>
    <x v="1"/>
    <n v="0"/>
    <n v="172.1"/>
    <n v="73"/>
    <n v="29.26"/>
    <n v="228"/>
    <n v="136"/>
    <n v="19.38"/>
    <n v="269.39999999999998"/>
    <n v="96"/>
    <n v="12.12"/>
    <x v="71"/>
    <x v="0"/>
    <x v="71"/>
    <x v="2"/>
    <x v="0"/>
  </r>
  <r>
    <s v="WI"/>
    <x v="157"/>
    <s v="area_code_408"/>
    <x v="0"/>
    <x v="1"/>
    <n v="0"/>
    <n v="206.8"/>
    <n v="104"/>
    <n v="35.159999999999997"/>
    <n v="286"/>
    <n v="115"/>
    <n v="24.31"/>
    <n v="153.9"/>
    <n v="112"/>
    <n v="6.93"/>
    <x v="70"/>
    <x v="3"/>
    <x v="70"/>
    <x v="1"/>
    <x v="0"/>
  </r>
  <r>
    <s v="MO"/>
    <x v="63"/>
    <s v="area_code_408"/>
    <x v="0"/>
    <x v="1"/>
    <n v="0"/>
    <n v="193.3"/>
    <n v="51"/>
    <n v="32.86"/>
    <n v="240.1"/>
    <n v="117"/>
    <n v="20.41"/>
    <n v="145.69999999999999"/>
    <n v="92"/>
    <n v="6.56"/>
    <x v="1"/>
    <x v="4"/>
    <x v="1"/>
    <x v="0"/>
    <x v="0"/>
  </r>
  <r>
    <s v="AL"/>
    <x v="80"/>
    <s v="area_code_415"/>
    <x v="0"/>
    <x v="1"/>
    <n v="0"/>
    <n v="225.9"/>
    <n v="52"/>
    <n v="38.4"/>
    <n v="242"/>
    <n v="69"/>
    <n v="20.57"/>
    <n v="144.5"/>
    <n v="68"/>
    <n v="6.5"/>
    <x v="50"/>
    <x v="0"/>
    <x v="50"/>
    <x v="1"/>
    <x v="0"/>
  </r>
  <r>
    <s v="CO"/>
    <x v="29"/>
    <s v="area_code_408"/>
    <x v="0"/>
    <x v="0"/>
    <n v="38"/>
    <n v="202.6"/>
    <n v="92"/>
    <n v="34.44"/>
    <n v="169.6"/>
    <n v="93"/>
    <n v="14.42"/>
    <n v="185.8"/>
    <n v="108"/>
    <n v="8.36"/>
    <x v="78"/>
    <x v="3"/>
    <x v="78"/>
    <x v="4"/>
    <x v="0"/>
  </r>
  <r>
    <s v="NJ"/>
    <x v="82"/>
    <s v="area_code_408"/>
    <x v="0"/>
    <x v="1"/>
    <n v="0"/>
    <n v="48.4"/>
    <n v="105"/>
    <n v="8.23"/>
    <n v="139.69999999999999"/>
    <n v="86"/>
    <n v="11.87"/>
    <n v="154.1"/>
    <n v="80"/>
    <n v="6.93"/>
    <x v="73"/>
    <x v="4"/>
    <x v="73"/>
    <x v="2"/>
    <x v="0"/>
  </r>
  <r>
    <s v="SC"/>
    <x v="119"/>
    <s v="area_code_510"/>
    <x v="0"/>
    <x v="1"/>
    <n v="0"/>
    <n v="168.6"/>
    <n v="93"/>
    <n v="28.66"/>
    <n v="246"/>
    <n v="61"/>
    <n v="20.91"/>
    <n v="269.89999999999998"/>
    <n v="102"/>
    <n v="12.15"/>
    <x v="37"/>
    <x v="2"/>
    <x v="37"/>
    <x v="0"/>
    <x v="0"/>
  </r>
  <r>
    <s v="AK"/>
    <x v="126"/>
    <s v="area_code_415"/>
    <x v="0"/>
    <x v="0"/>
    <n v="31"/>
    <n v="142.9"/>
    <n v="92"/>
    <n v="24.29"/>
    <n v="233.8"/>
    <n v="107"/>
    <n v="19.87"/>
    <n v="329.2"/>
    <n v="142"/>
    <n v="14.81"/>
    <x v="91"/>
    <x v="3"/>
    <x v="91"/>
    <x v="1"/>
    <x v="0"/>
  </r>
  <r>
    <s v="AK"/>
    <x v="126"/>
    <s v="area_code_510"/>
    <x v="0"/>
    <x v="1"/>
    <n v="0"/>
    <n v="85.2"/>
    <n v="102"/>
    <n v="14.48"/>
    <n v="153.19999999999999"/>
    <n v="118"/>
    <n v="13.02"/>
    <n v="142.6"/>
    <n v="107"/>
    <n v="6.42"/>
    <x v="45"/>
    <x v="4"/>
    <x v="45"/>
    <x v="0"/>
    <x v="0"/>
  </r>
  <r>
    <s v="MN"/>
    <x v="7"/>
    <s v="area_code_408"/>
    <x v="0"/>
    <x v="1"/>
    <n v="0"/>
    <n v="77.8"/>
    <n v="123"/>
    <n v="13.23"/>
    <n v="144.4"/>
    <n v="119"/>
    <n v="12.27"/>
    <n v="75.3"/>
    <n v="65"/>
    <n v="3.39"/>
    <x v="16"/>
    <x v="2"/>
    <x v="16"/>
    <x v="0"/>
    <x v="0"/>
  </r>
  <r>
    <s v="MI"/>
    <x v="15"/>
    <s v="area_code_408"/>
    <x v="0"/>
    <x v="0"/>
    <n v="19"/>
    <n v="179.4"/>
    <n v="108"/>
    <n v="30.5"/>
    <n v="93.6"/>
    <n v="90"/>
    <n v="7.96"/>
    <n v="234.6"/>
    <n v="99"/>
    <n v="10.56"/>
    <x v="130"/>
    <x v="4"/>
    <x v="130"/>
    <x v="2"/>
    <x v="0"/>
  </r>
  <r>
    <s v="KS"/>
    <x v="40"/>
    <s v="area_code_510"/>
    <x v="0"/>
    <x v="1"/>
    <n v="0"/>
    <n v="139.80000000000001"/>
    <n v="98"/>
    <n v="23.77"/>
    <n v="247.2"/>
    <n v="103"/>
    <n v="21.01"/>
    <n v="241"/>
    <n v="113"/>
    <n v="10.85"/>
    <x v="50"/>
    <x v="0"/>
    <x v="50"/>
    <x v="3"/>
    <x v="0"/>
  </r>
  <r>
    <s v="NJ"/>
    <x v="148"/>
    <s v="area_code_415"/>
    <x v="0"/>
    <x v="0"/>
    <n v="17"/>
    <n v="177.9"/>
    <n v="68"/>
    <n v="30.24"/>
    <n v="153.9"/>
    <n v="112"/>
    <n v="13.08"/>
    <n v="251.2"/>
    <n v="121"/>
    <n v="11.3"/>
    <x v="15"/>
    <x v="2"/>
    <x v="15"/>
    <x v="0"/>
    <x v="0"/>
  </r>
  <r>
    <s v="OR"/>
    <x v="58"/>
    <s v="area_code_415"/>
    <x v="0"/>
    <x v="1"/>
    <n v="0"/>
    <n v="101.9"/>
    <n v="98"/>
    <n v="17.32"/>
    <n v="193.3"/>
    <n v="113"/>
    <n v="16.43"/>
    <n v="167.5"/>
    <n v="126"/>
    <n v="7.54"/>
    <x v="51"/>
    <x v="3"/>
    <x v="51"/>
    <x v="0"/>
    <x v="0"/>
  </r>
  <r>
    <s v="IA"/>
    <x v="134"/>
    <s v="area_code_415"/>
    <x v="0"/>
    <x v="1"/>
    <n v="0"/>
    <n v="157.5"/>
    <n v="90"/>
    <n v="26.78"/>
    <n v="223.8"/>
    <n v="83"/>
    <n v="19.02"/>
    <n v="241.1"/>
    <n v="98"/>
    <n v="10.85"/>
    <x v="1"/>
    <x v="4"/>
    <x v="1"/>
    <x v="0"/>
    <x v="0"/>
  </r>
  <r>
    <s v="NJ"/>
    <x v="49"/>
    <s v="area_code_415"/>
    <x v="0"/>
    <x v="1"/>
    <n v="0"/>
    <n v="167.1"/>
    <n v="138"/>
    <n v="28.41"/>
    <n v="154.4"/>
    <n v="93"/>
    <n v="13.12"/>
    <n v="244.5"/>
    <n v="148"/>
    <n v="11"/>
    <x v="0"/>
    <x v="11"/>
    <x v="0"/>
    <x v="3"/>
    <x v="0"/>
  </r>
  <r>
    <s v="NY"/>
    <x v="16"/>
    <s v="area_code_510"/>
    <x v="0"/>
    <x v="1"/>
    <n v="0"/>
    <n v="124.1"/>
    <n v="92"/>
    <n v="21.1"/>
    <n v="214.9"/>
    <n v="131"/>
    <n v="18.27"/>
    <n v="241.3"/>
    <n v="132"/>
    <n v="10.86"/>
    <x v="0"/>
    <x v="0"/>
    <x v="0"/>
    <x v="1"/>
    <x v="0"/>
  </r>
  <r>
    <s v="MN"/>
    <x v="145"/>
    <s v="area_code_408"/>
    <x v="0"/>
    <x v="0"/>
    <n v="31"/>
    <n v="221.4"/>
    <n v="124"/>
    <n v="37.64"/>
    <n v="313.39999999999998"/>
    <n v="96"/>
    <n v="26.64"/>
    <n v="175.9"/>
    <n v="94"/>
    <n v="7.92"/>
    <x v="23"/>
    <x v="8"/>
    <x v="23"/>
    <x v="3"/>
    <x v="0"/>
  </r>
  <r>
    <s v="OH"/>
    <x v="77"/>
    <s v="area_code_415"/>
    <x v="0"/>
    <x v="0"/>
    <n v="37"/>
    <n v="227.9"/>
    <n v="80"/>
    <n v="38.74"/>
    <n v="101.9"/>
    <n v="141"/>
    <n v="8.66"/>
    <n v="188.1"/>
    <n v="110"/>
    <n v="8.4600000000000009"/>
    <x v="118"/>
    <x v="3"/>
    <x v="118"/>
    <x v="1"/>
    <x v="0"/>
  </r>
  <r>
    <s v="SD"/>
    <x v="105"/>
    <s v="area_code_415"/>
    <x v="0"/>
    <x v="1"/>
    <n v="0"/>
    <n v="177.8"/>
    <n v="112"/>
    <n v="30.23"/>
    <n v="226.5"/>
    <n v="80"/>
    <n v="19.25"/>
    <n v="221.8"/>
    <n v="71"/>
    <n v="9.98"/>
    <x v="57"/>
    <x v="4"/>
    <x v="57"/>
    <x v="0"/>
    <x v="0"/>
  </r>
  <r>
    <s v="UT"/>
    <x v="62"/>
    <s v="area_code_415"/>
    <x v="0"/>
    <x v="0"/>
    <n v="33"/>
    <n v="189.4"/>
    <n v="109"/>
    <n v="32.200000000000003"/>
    <n v="148.69999999999999"/>
    <n v="68"/>
    <n v="12.64"/>
    <n v="208.9"/>
    <n v="119"/>
    <n v="9.4"/>
    <x v="7"/>
    <x v="4"/>
    <x v="7"/>
    <x v="0"/>
    <x v="1"/>
  </r>
  <r>
    <s v="OH"/>
    <x v="47"/>
    <s v="area_code_510"/>
    <x v="0"/>
    <x v="0"/>
    <n v="39"/>
    <n v="188.3"/>
    <n v="108"/>
    <n v="32.01"/>
    <n v="167.6"/>
    <n v="116"/>
    <n v="14.25"/>
    <n v="189.9"/>
    <n v="92"/>
    <n v="8.5500000000000007"/>
    <x v="95"/>
    <x v="1"/>
    <x v="95"/>
    <x v="0"/>
    <x v="0"/>
  </r>
  <r>
    <s v="MS"/>
    <x v="56"/>
    <s v="area_code_415"/>
    <x v="0"/>
    <x v="0"/>
    <n v="26"/>
    <n v="177.1"/>
    <n v="94"/>
    <n v="30.11"/>
    <n v="206"/>
    <n v="85"/>
    <n v="17.510000000000002"/>
    <n v="254.8"/>
    <n v="95"/>
    <n v="11.47"/>
    <x v="2"/>
    <x v="5"/>
    <x v="2"/>
    <x v="2"/>
    <x v="0"/>
  </r>
  <r>
    <s v="PA"/>
    <x v="34"/>
    <s v="area_code_408"/>
    <x v="0"/>
    <x v="1"/>
    <n v="0"/>
    <n v="128.5"/>
    <n v="95"/>
    <n v="21.85"/>
    <n v="192.6"/>
    <n v="91"/>
    <n v="16.37"/>
    <n v="79"/>
    <n v="95"/>
    <n v="3.56"/>
    <x v="29"/>
    <x v="3"/>
    <x v="29"/>
    <x v="2"/>
    <x v="0"/>
  </r>
  <r>
    <s v="NH"/>
    <x v="26"/>
    <s v="area_code_408"/>
    <x v="0"/>
    <x v="0"/>
    <n v="28"/>
    <n v="130.5"/>
    <n v="109"/>
    <n v="22.19"/>
    <n v="173.3"/>
    <n v="99"/>
    <n v="14.73"/>
    <n v="192.2"/>
    <n v="106"/>
    <n v="8.65"/>
    <x v="91"/>
    <x v="0"/>
    <x v="91"/>
    <x v="3"/>
    <x v="0"/>
  </r>
  <r>
    <s v="MO"/>
    <x v="100"/>
    <s v="area_code_415"/>
    <x v="0"/>
    <x v="1"/>
    <n v="0"/>
    <n v="201.1"/>
    <n v="141"/>
    <n v="34.19"/>
    <n v="216.5"/>
    <n v="93"/>
    <n v="18.399999999999999"/>
    <n v="217.4"/>
    <n v="132"/>
    <n v="9.7799999999999994"/>
    <x v="73"/>
    <x v="4"/>
    <x v="73"/>
    <x v="0"/>
    <x v="0"/>
  </r>
  <r>
    <s v="TN"/>
    <x v="72"/>
    <s v="area_code_415"/>
    <x v="0"/>
    <x v="0"/>
    <n v="38"/>
    <n v="139.80000000000001"/>
    <n v="108"/>
    <n v="23.77"/>
    <n v="58.3"/>
    <n v="120"/>
    <n v="4.96"/>
    <n v="203.4"/>
    <n v="160"/>
    <n v="9.15"/>
    <x v="84"/>
    <x v="8"/>
    <x v="84"/>
    <x v="3"/>
    <x v="0"/>
  </r>
  <r>
    <s v="TN"/>
    <x v="15"/>
    <s v="area_code_510"/>
    <x v="0"/>
    <x v="0"/>
    <n v="6"/>
    <n v="237.6"/>
    <n v="105"/>
    <n v="40.39"/>
    <n v="244.9"/>
    <n v="98"/>
    <n v="20.82"/>
    <n v="188.3"/>
    <n v="107"/>
    <n v="8.4700000000000006"/>
    <x v="36"/>
    <x v="12"/>
    <x v="36"/>
    <x v="4"/>
    <x v="0"/>
  </r>
  <r>
    <s v="AL"/>
    <x v="108"/>
    <s v="area_code_415"/>
    <x v="0"/>
    <x v="0"/>
    <n v="26"/>
    <n v="197.7"/>
    <n v="80"/>
    <n v="33.61"/>
    <n v="232.6"/>
    <n v="83"/>
    <n v="19.77"/>
    <n v="196.7"/>
    <n v="120"/>
    <n v="8.85"/>
    <x v="42"/>
    <x v="1"/>
    <x v="42"/>
    <x v="0"/>
    <x v="0"/>
  </r>
  <r>
    <s v="LA"/>
    <x v="108"/>
    <s v="area_code_510"/>
    <x v="0"/>
    <x v="1"/>
    <n v="0"/>
    <n v="222.1"/>
    <n v="115"/>
    <n v="37.76"/>
    <n v="245"/>
    <n v="130"/>
    <n v="20.83"/>
    <n v="129.30000000000001"/>
    <n v="119"/>
    <n v="5.82"/>
    <x v="111"/>
    <x v="5"/>
    <x v="111"/>
    <x v="2"/>
    <x v="0"/>
  </r>
  <r>
    <s v="NV"/>
    <x v="143"/>
    <s v="area_code_408"/>
    <x v="0"/>
    <x v="0"/>
    <n v="39"/>
    <n v="270"/>
    <n v="58"/>
    <n v="45.9"/>
    <n v="235.5"/>
    <n v="108"/>
    <n v="20.02"/>
    <n v="194.3"/>
    <n v="57"/>
    <n v="8.74"/>
    <x v="35"/>
    <x v="3"/>
    <x v="35"/>
    <x v="0"/>
    <x v="1"/>
  </r>
  <r>
    <s v="OK"/>
    <x v="83"/>
    <s v="area_code_510"/>
    <x v="0"/>
    <x v="1"/>
    <n v="0"/>
    <n v="148.69999999999999"/>
    <n v="90"/>
    <n v="25.28"/>
    <n v="204.3"/>
    <n v="106"/>
    <n v="17.37"/>
    <n v="144.1"/>
    <n v="105"/>
    <n v="6.48"/>
    <x v="52"/>
    <x v="4"/>
    <x v="52"/>
    <x v="2"/>
    <x v="0"/>
  </r>
  <r>
    <s v="FL"/>
    <x v="85"/>
    <s v="area_code_510"/>
    <x v="0"/>
    <x v="1"/>
    <n v="0"/>
    <n v="143.6"/>
    <n v="135"/>
    <n v="24.41"/>
    <n v="278"/>
    <n v="119"/>
    <n v="23.63"/>
    <n v="46.7"/>
    <n v="84"/>
    <n v="2.1"/>
    <x v="8"/>
    <x v="0"/>
    <x v="8"/>
    <x v="1"/>
    <x v="0"/>
  </r>
  <r>
    <s v="MD"/>
    <x v="16"/>
    <s v="area_code_415"/>
    <x v="0"/>
    <x v="1"/>
    <n v="0"/>
    <n v="205.3"/>
    <n v="69"/>
    <n v="34.9"/>
    <n v="171"/>
    <n v="84"/>
    <n v="14.54"/>
    <n v="242.4"/>
    <n v="96"/>
    <n v="10.91"/>
    <x v="3"/>
    <x v="5"/>
    <x v="3"/>
    <x v="3"/>
    <x v="0"/>
  </r>
  <r>
    <s v="KY"/>
    <x v="210"/>
    <s v="area_code_415"/>
    <x v="0"/>
    <x v="1"/>
    <n v="0"/>
    <n v="184.5"/>
    <n v="77"/>
    <n v="31.37"/>
    <n v="272.5"/>
    <n v="103"/>
    <n v="23.16"/>
    <n v="190.3"/>
    <n v="129"/>
    <n v="8.56"/>
    <x v="84"/>
    <x v="0"/>
    <x v="84"/>
    <x v="4"/>
    <x v="0"/>
  </r>
  <r>
    <s v="NY"/>
    <x v="40"/>
    <s v="area_code_415"/>
    <x v="0"/>
    <x v="1"/>
    <n v="0"/>
    <n v="140.80000000000001"/>
    <n v="97"/>
    <n v="23.94"/>
    <n v="211.5"/>
    <n v="109"/>
    <n v="17.98"/>
    <n v="216.9"/>
    <n v="53"/>
    <n v="9.76"/>
    <x v="1"/>
    <x v="4"/>
    <x v="1"/>
    <x v="1"/>
    <x v="0"/>
  </r>
  <r>
    <s v="KY"/>
    <x v="48"/>
    <s v="area_code_415"/>
    <x v="0"/>
    <x v="1"/>
    <n v="0"/>
    <n v="140.80000000000001"/>
    <n v="107"/>
    <n v="23.94"/>
    <n v="252.6"/>
    <n v="87"/>
    <n v="21.47"/>
    <n v="215.4"/>
    <n v="136"/>
    <n v="9.69"/>
    <x v="9"/>
    <x v="4"/>
    <x v="9"/>
    <x v="3"/>
    <x v="0"/>
  </r>
  <r>
    <s v="MS"/>
    <x v="67"/>
    <s v="area_code_415"/>
    <x v="1"/>
    <x v="0"/>
    <n v="36"/>
    <n v="169.7"/>
    <n v="109"/>
    <n v="28.85"/>
    <n v="318.60000000000002"/>
    <n v="88"/>
    <n v="27.08"/>
    <n v="246.5"/>
    <n v="95"/>
    <n v="11.09"/>
    <x v="52"/>
    <x v="0"/>
    <x v="52"/>
    <x v="1"/>
    <x v="0"/>
  </r>
  <r>
    <s v="WI"/>
    <x v="16"/>
    <s v="area_code_408"/>
    <x v="0"/>
    <x v="1"/>
    <n v="0"/>
    <n v="168.1"/>
    <n v="83"/>
    <n v="28.58"/>
    <n v="202"/>
    <n v="91"/>
    <n v="17.170000000000002"/>
    <n v="173.2"/>
    <n v="91"/>
    <n v="7.79"/>
    <x v="13"/>
    <x v="0"/>
    <x v="13"/>
    <x v="3"/>
    <x v="0"/>
  </r>
  <r>
    <s v="NH"/>
    <x v="41"/>
    <s v="area_code_415"/>
    <x v="0"/>
    <x v="0"/>
    <n v="25"/>
    <n v="190.1"/>
    <n v="133"/>
    <n v="32.32"/>
    <n v="181.1"/>
    <n v="61"/>
    <n v="15.39"/>
    <n v="104"/>
    <n v="110"/>
    <n v="4.68"/>
    <x v="60"/>
    <x v="0"/>
    <x v="60"/>
    <x v="2"/>
    <x v="0"/>
  </r>
  <r>
    <s v="OR"/>
    <x v="105"/>
    <s v="area_code_408"/>
    <x v="0"/>
    <x v="1"/>
    <n v="0"/>
    <n v="192.6"/>
    <n v="96"/>
    <n v="32.74"/>
    <n v="184"/>
    <n v="92"/>
    <n v="15.64"/>
    <n v="173.6"/>
    <n v="113"/>
    <n v="7.81"/>
    <x v="82"/>
    <x v="3"/>
    <x v="82"/>
    <x v="2"/>
    <x v="0"/>
  </r>
  <r>
    <s v="WI"/>
    <x v="121"/>
    <s v="area_code_408"/>
    <x v="0"/>
    <x v="1"/>
    <n v="0"/>
    <n v="234.8"/>
    <n v="95"/>
    <n v="39.92"/>
    <n v="109.7"/>
    <n v="87"/>
    <n v="9.32"/>
    <n v="180.3"/>
    <n v="99"/>
    <n v="8.11"/>
    <x v="91"/>
    <x v="5"/>
    <x v="91"/>
    <x v="1"/>
    <x v="0"/>
  </r>
  <r>
    <s v="KS"/>
    <x v="146"/>
    <s v="area_code_510"/>
    <x v="0"/>
    <x v="1"/>
    <n v="0"/>
    <n v="247.2"/>
    <n v="84"/>
    <n v="42.02"/>
    <n v="161.9"/>
    <n v="130"/>
    <n v="13.76"/>
    <n v="170.3"/>
    <n v="73"/>
    <n v="7.66"/>
    <x v="49"/>
    <x v="3"/>
    <x v="49"/>
    <x v="0"/>
    <x v="0"/>
  </r>
  <r>
    <s v="MT"/>
    <x v="82"/>
    <s v="area_code_408"/>
    <x v="0"/>
    <x v="1"/>
    <n v="0"/>
    <n v="185.9"/>
    <n v="115"/>
    <n v="31.6"/>
    <n v="232.5"/>
    <n v="98"/>
    <n v="19.760000000000002"/>
    <n v="205.2"/>
    <n v="124"/>
    <n v="9.23"/>
    <x v="39"/>
    <x v="5"/>
    <x v="39"/>
    <x v="2"/>
    <x v="0"/>
  </r>
  <r>
    <s v="ID"/>
    <x v="190"/>
    <s v="area_code_408"/>
    <x v="0"/>
    <x v="1"/>
    <n v="0"/>
    <n v="98.5"/>
    <n v="85"/>
    <n v="16.75"/>
    <n v="200.3"/>
    <n v="80"/>
    <n v="17.03"/>
    <n v="252.3"/>
    <n v="68"/>
    <n v="11.35"/>
    <x v="42"/>
    <x v="2"/>
    <x v="42"/>
    <x v="2"/>
    <x v="0"/>
  </r>
  <r>
    <s v="TX"/>
    <x v="130"/>
    <s v="area_code_415"/>
    <x v="0"/>
    <x v="1"/>
    <n v="0"/>
    <n v="304"/>
    <n v="141"/>
    <n v="51.68"/>
    <n v="264.10000000000002"/>
    <n v="127"/>
    <n v="22.45"/>
    <n v="138.1"/>
    <n v="104"/>
    <n v="6.21"/>
    <x v="68"/>
    <x v="4"/>
    <x v="68"/>
    <x v="1"/>
    <x v="1"/>
  </r>
  <r>
    <s v="NY"/>
    <x v="14"/>
    <s v="area_code_415"/>
    <x v="0"/>
    <x v="1"/>
    <n v="0"/>
    <n v="201.5"/>
    <n v="127"/>
    <n v="34.26"/>
    <n v="155.19999999999999"/>
    <n v="91"/>
    <n v="13.19"/>
    <n v="249.6"/>
    <n v="103"/>
    <n v="11.23"/>
    <x v="53"/>
    <x v="8"/>
    <x v="53"/>
    <x v="2"/>
    <x v="0"/>
  </r>
  <r>
    <s v="NJ"/>
    <x v="29"/>
    <s v="area_code_415"/>
    <x v="0"/>
    <x v="1"/>
    <n v="0"/>
    <n v="191.7"/>
    <n v="125"/>
    <n v="32.590000000000003"/>
    <n v="284.2"/>
    <n v="100"/>
    <n v="24.16"/>
    <n v="211.7"/>
    <n v="87"/>
    <n v="9.5299999999999994"/>
    <x v="60"/>
    <x v="5"/>
    <x v="60"/>
    <x v="1"/>
    <x v="0"/>
  </r>
  <r>
    <s v="KS"/>
    <x v="33"/>
    <s v="area_code_510"/>
    <x v="0"/>
    <x v="0"/>
    <n v="45"/>
    <n v="71.2"/>
    <n v="113"/>
    <n v="12.1"/>
    <n v="233.7"/>
    <n v="95"/>
    <n v="19.86"/>
    <n v="139.30000000000001"/>
    <n v="129"/>
    <n v="6.27"/>
    <x v="100"/>
    <x v="14"/>
    <x v="100"/>
    <x v="0"/>
    <x v="0"/>
  </r>
  <r>
    <s v="MS"/>
    <x v="77"/>
    <s v="area_code_415"/>
    <x v="0"/>
    <x v="1"/>
    <n v="0"/>
    <n v="178.4"/>
    <n v="110"/>
    <n v="30.33"/>
    <n v="179.1"/>
    <n v="116"/>
    <n v="15.22"/>
    <n v="228.1"/>
    <n v="99"/>
    <n v="10.26"/>
    <x v="94"/>
    <x v="4"/>
    <x v="94"/>
    <x v="0"/>
    <x v="0"/>
  </r>
  <r>
    <s v="MI"/>
    <x v="184"/>
    <s v="area_code_415"/>
    <x v="1"/>
    <x v="0"/>
    <n v="18"/>
    <n v="127.2"/>
    <n v="89"/>
    <n v="21.62"/>
    <n v="130.69999999999999"/>
    <n v="114"/>
    <n v="11.11"/>
    <n v="229.7"/>
    <n v="115"/>
    <n v="10.34"/>
    <x v="7"/>
    <x v="1"/>
    <x v="7"/>
    <x v="2"/>
    <x v="0"/>
  </r>
  <r>
    <s v="DE"/>
    <x v="37"/>
    <s v="area_code_510"/>
    <x v="0"/>
    <x v="1"/>
    <n v="0"/>
    <n v="230.7"/>
    <n v="66"/>
    <n v="39.22"/>
    <n v="165.4"/>
    <n v="65"/>
    <n v="14.06"/>
    <n v="309.10000000000002"/>
    <n v="139"/>
    <n v="13.91"/>
    <x v="64"/>
    <x v="11"/>
    <x v="64"/>
    <x v="0"/>
    <x v="0"/>
  </r>
  <r>
    <s v="IL"/>
    <x v="6"/>
    <s v="area_code_408"/>
    <x v="0"/>
    <x v="1"/>
    <n v="0"/>
    <n v="228.3"/>
    <n v="84"/>
    <n v="38.81"/>
    <n v="152.6"/>
    <n v="92"/>
    <n v="12.97"/>
    <n v="309.7"/>
    <n v="101"/>
    <n v="13.94"/>
    <x v="103"/>
    <x v="0"/>
    <x v="103"/>
    <x v="3"/>
    <x v="0"/>
  </r>
  <r>
    <s v="VA"/>
    <x v="21"/>
    <s v="area_code_408"/>
    <x v="0"/>
    <x v="1"/>
    <n v="0"/>
    <n v="197.7"/>
    <n v="84"/>
    <n v="33.61"/>
    <n v="221.3"/>
    <n v="89"/>
    <n v="18.809999999999999"/>
    <n v="189.4"/>
    <n v="109"/>
    <n v="8.52"/>
    <x v="35"/>
    <x v="0"/>
    <x v="35"/>
    <x v="2"/>
    <x v="0"/>
  </r>
  <r>
    <s v="IN"/>
    <x v="14"/>
    <s v="area_code_415"/>
    <x v="0"/>
    <x v="0"/>
    <n v="35"/>
    <n v="273.7"/>
    <n v="94"/>
    <n v="46.53"/>
    <n v="153.30000000000001"/>
    <n v="101"/>
    <n v="13.03"/>
    <n v="259"/>
    <n v="109"/>
    <n v="11.66"/>
    <x v="136"/>
    <x v="0"/>
    <x v="136"/>
    <x v="1"/>
    <x v="0"/>
  </r>
  <r>
    <s v="TN"/>
    <x v="28"/>
    <s v="area_code_415"/>
    <x v="0"/>
    <x v="1"/>
    <n v="0"/>
    <n v="190.5"/>
    <n v="106"/>
    <n v="32.39"/>
    <n v="164.2"/>
    <n v="92"/>
    <n v="13.96"/>
    <n v="110.8"/>
    <n v="88"/>
    <n v="4.99"/>
    <x v="37"/>
    <x v="1"/>
    <x v="37"/>
    <x v="2"/>
    <x v="0"/>
  </r>
  <r>
    <s v="WV"/>
    <x v="9"/>
    <s v="area_code_408"/>
    <x v="0"/>
    <x v="1"/>
    <n v="0"/>
    <n v="176.1"/>
    <n v="79"/>
    <n v="29.94"/>
    <n v="208.3"/>
    <n v="105"/>
    <n v="17.71"/>
    <n v="237.5"/>
    <n v="86"/>
    <n v="10.69"/>
    <x v="137"/>
    <x v="4"/>
    <x v="137"/>
    <x v="4"/>
    <x v="0"/>
  </r>
  <r>
    <s v="TX"/>
    <x v="126"/>
    <s v="area_code_415"/>
    <x v="0"/>
    <x v="1"/>
    <n v="0"/>
    <n v="210.4"/>
    <n v="78"/>
    <n v="35.770000000000003"/>
    <n v="172.4"/>
    <n v="75"/>
    <n v="14.65"/>
    <n v="240"/>
    <n v="105"/>
    <n v="10.8"/>
    <x v="50"/>
    <x v="0"/>
    <x v="50"/>
    <x v="2"/>
    <x v="0"/>
  </r>
  <r>
    <s v="MT"/>
    <x v="51"/>
    <s v="area_code_415"/>
    <x v="0"/>
    <x v="0"/>
    <n v="28"/>
    <n v="151"/>
    <n v="59"/>
    <n v="25.67"/>
    <n v="269.5"/>
    <n v="122"/>
    <n v="22.91"/>
    <n v="179.4"/>
    <n v="116"/>
    <n v="8.07"/>
    <x v="56"/>
    <x v="6"/>
    <x v="56"/>
    <x v="1"/>
    <x v="0"/>
  </r>
  <r>
    <s v="AL"/>
    <x v="8"/>
    <s v="area_code_415"/>
    <x v="0"/>
    <x v="1"/>
    <n v="0"/>
    <n v="144.30000000000001"/>
    <n v="109"/>
    <n v="24.53"/>
    <n v="331.3"/>
    <n v="89"/>
    <n v="28.16"/>
    <n v="155.30000000000001"/>
    <n v="69"/>
    <n v="6.99"/>
    <x v="23"/>
    <x v="9"/>
    <x v="23"/>
    <x v="3"/>
    <x v="0"/>
  </r>
  <r>
    <s v="FL"/>
    <x v="136"/>
    <s v="area_code_408"/>
    <x v="0"/>
    <x v="0"/>
    <n v="42"/>
    <n v="203.7"/>
    <n v="109"/>
    <n v="34.630000000000003"/>
    <n v="192.9"/>
    <n v="125"/>
    <n v="16.399999999999999"/>
    <n v="318"/>
    <n v="81"/>
    <n v="14.31"/>
    <x v="81"/>
    <x v="18"/>
    <x v="81"/>
    <x v="3"/>
    <x v="0"/>
  </r>
  <r>
    <s v="KY"/>
    <x v="100"/>
    <s v="area_code_415"/>
    <x v="0"/>
    <x v="1"/>
    <n v="0"/>
    <n v="210.1"/>
    <n v="97"/>
    <n v="35.72"/>
    <n v="177.3"/>
    <n v="96"/>
    <n v="15.07"/>
    <n v="130.19999999999999"/>
    <n v="136"/>
    <n v="5.86"/>
    <x v="64"/>
    <x v="8"/>
    <x v="64"/>
    <x v="1"/>
    <x v="1"/>
  </r>
  <r>
    <s v="OH"/>
    <x v="26"/>
    <s v="area_code_415"/>
    <x v="0"/>
    <x v="0"/>
    <n v="27"/>
    <n v="121.9"/>
    <n v="88"/>
    <n v="20.72"/>
    <n v="225.4"/>
    <n v="75"/>
    <n v="19.16"/>
    <n v="90.8"/>
    <n v="118"/>
    <n v="4.09"/>
    <x v="14"/>
    <x v="4"/>
    <x v="14"/>
    <x v="3"/>
    <x v="0"/>
  </r>
  <r>
    <s v="ID"/>
    <x v="63"/>
    <s v="area_code_415"/>
    <x v="0"/>
    <x v="1"/>
    <n v="0"/>
    <n v="201.5"/>
    <n v="103"/>
    <n v="34.26"/>
    <n v="124.2"/>
    <n v="120"/>
    <n v="10.56"/>
    <n v="239.9"/>
    <n v="56"/>
    <n v="10.8"/>
    <x v="73"/>
    <x v="0"/>
    <x v="73"/>
    <x v="1"/>
    <x v="0"/>
  </r>
  <r>
    <s v="NJ"/>
    <x v="64"/>
    <s v="area_code_415"/>
    <x v="0"/>
    <x v="1"/>
    <n v="0"/>
    <n v="146"/>
    <n v="58"/>
    <n v="24.82"/>
    <n v="208.7"/>
    <n v="103"/>
    <n v="17.739999999999998"/>
    <n v="215.5"/>
    <n v="91"/>
    <n v="9.6999999999999993"/>
    <x v="78"/>
    <x v="5"/>
    <x v="78"/>
    <x v="1"/>
    <x v="0"/>
  </r>
  <r>
    <s v="NM"/>
    <x v="173"/>
    <s v="area_code_510"/>
    <x v="0"/>
    <x v="0"/>
    <n v="26"/>
    <n v="69.7"/>
    <n v="84"/>
    <n v="11.85"/>
    <n v="250.4"/>
    <n v="79"/>
    <n v="21.28"/>
    <n v="230.2"/>
    <n v="122"/>
    <n v="10.36"/>
    <x v="24"/>
    <x v="0"/>
    <x v="24"/>
    <x v="2"/>
    <x v="0"/>
  </r>
  <r>
    <s v="UT"/>
    <x v="60"/>
    <s v="area_code_415"/>
    <x v="0"/>
    <x v="1"/>
    <n v="0"/>
    <n v="183.1"/>
    <n v="109"/>
    <n v="31.13"/>
    <n v="199.4"/>
    <n v="109"/>
    <n v="16.95"/>
    <n v="214.1"/>
    <n v="71"/>
    <n v="9.6300000000000008"/>
    <x v="55"/>
    <x v="4"/>
    <x v="55"/>
    <x v="1"/>
    <x v="0"/>
  </r>
  <r>
    <s v="MO"/>
    <x v="176"/>
    <s v="area_code_408"/>
    <x v="0"/>
    <x v="0"/>
    <n v="32"/>
    <n v="148.69999999999999"/>
    <n v="95"/>
    <n v="25.28"/>
    <n v="198.6"/>
    <n v="55"/>
    <n v="16.88"/>
    <n v="187"/>
    <n v="113"/>
    <n v="8.41"/>
    <x v="91"/>
    <x v="2"/>
    <x v="91"/>
    <x v="8"/>
    <x v="1"/>
  </r>
  <r>
    <s v="WV"/>
    <x v="27"/>
    <s v="area_code_510"/>
    <x v="0"/>
    <x v="1"/>
    <n v="0"/>
    <n v="240.1"/>
    <n v="121"/>
    <n v="40.82"/>
    <n v="271.2"/>
    <n v="123"/>
    <n v="23.05"/>
    <n v="132.69999999999999"/>
    <n v="98"/>
    <n v="5.97"/>
    <x v="110"/>
    <x v="4"/>
    <x v="110"/>
    <x v="1"/>
    <x v="1"/>
  </r>
  <r>
    <s v="ND"/>
    <x v="112"/>
    <s v="area_code_415"/>
    <x v="0"/>
    <x v="0"/>
    <n v="25"/>
    <n v="126.4"/>
    <n v="97"/>
    <n v="21.49"/>
    <n v="189.7"/>
    <n v="118"/>
    <n v="16.12"/>
    <n v="233.6"/>
    <n v="97"/>
    <n v="10.51"/>
    <x v="42"/>
    <x v="5"/>
    <x v="42"/>
    <x v="0"/>
    <x v="0"/>
  </r>
  <r>
    <s v="KS"/>
    <x v="149"/>
    <s v="area_code_510"/>
    <x v="0"/>
    <x v="1"/>
    <n v="0"/>
    <n v="180.2"/>
    <n v="115"/>
    <n v="30.63"/>
    <n v="83.4"/>
    <n v="114"/>
    <n v="7.09"/>
    <n v="245.3"/>
    <n v="111"/>
    <n v="11.04"/>
    <x v="78"/>
    <x v="3"/>
    <x v="78"/>
    <x v="0"/>
    <x v="0"/>
  </r>
  <r>
    <s v="CO"/>
    <x v="23"/>
    <s v="area_code_415"/>
    <x v="0"/>
    <x v="1"/>
    <n v="0"/>
    <n v="172"/>
    <n v="142"/>
    <n v="29.24"/>
    <n v="224"/>
    <n v="100"/>
    <n v="19.04"/>
    <n v="177.3"/>
    <n v="86"/>
    <n v="7.98"/>
    <x v="33"/>
    <x v="8"/>
    <x v="33"/>
    <x v="1"/>
    <x v="0"/>
  </r>
  <r>
    <s v="OH"/>
    <x v="22"/>
    <s v="area_code_415"/>
    <x v="0"/>
    <x v="0"/>
    <n v="27"/>
    <n v="231.6"/>
    <n v="105"/>
    <n v="39.369999999999997"/>
    <n v="223.3"/>
    <n v="120"/>
    <n v="18.98"/>
    <n v="212"/>
    <n v="99"/>
    <n v="9.5399999999999991"/>
    <x v="56"/>
    <x v="4"/>
    <x v="56"/>
    <x v="0"/>
    <x v="0"/>
  </r>
  <r>
    <s v="IN"/>
    <x v="100"/>
    <s v="area_code_415"/>
    <x v="0"/>
    <x v="0"/>
    <n v="29"/>
    <n v="42.1"/>
    <n v="114"/>
    <n v="7.16"/>
    <n v="183.3"/>
    <n v="70"/>
    <n v="15.58"/>
    <n v="158.69999999999999"/>
    <n v="82"/>
    <n v="7.14"/>
    <x v="13"/>
    <x v="8"/>
    <x v="13"/>
    <x v="1"/>
    <x v="0"/>
  </r>
  <r>
    <s v="OK"/>
    <x v="63"/>
    <s v="area_code_408"/>
    <x v="0"/>
    <x v="1"/>
    <n v="0"/>
    <n v="155.6"/>
    <n v="90"/>
    <n v="26.45"/>
    <n v="240.1"/>
    <n v="117"/>
    <n v="20.41"/>
    <n v="230.8"/>
    <n v="88"/>
    <n v="10.39"/>
    <x v="81"/>
    <x v="4"/>
    <x v="81"/>
    <x v="3"/>
    <x v="0"/>
  </r>
  <r>
    <s v="ID"/>
    <x v="72"/>
    <s v="area_code_415"/>
    <x v="0"/>
    <x v="1"/>
    <n v="0"/>
    <n v="234.6"/>
    <n v="126"/>
    <n v="39.880000000000003"/>
    <n v="200.7"/>
    <n v="76"/>
    <n v="17.059999999999999"/>
    <n v="171.1"/>
    <n v="81"/>
    <n v="7.7"/>
    <x v="111"/>
    <x v="5"/>
    <x v="111"/>
    <x v="1"/>
    <x v="0"/>
  </r>
  <r>
    <s v="DE"/>
    <x v="1"/>
    <s v="area_code_415"/>
    <x v="0"/>
    <x v="1"/>
    <n v="0"/>
    <n v="115.5"/>
    <n v="101"/>
    <n v="19.64"/>
    <n v="226.2"/>
    <n v="81"/>
    <n v="19.23"/>
    <n v="179.1"/>
    <n v="123"/>
    <n v="8.06"/>
    <x v="109"/>
    <x v="4"/>
    <x v="109"/>
    <x v="1"/>
    <x v="0"/>
  </r>
  <r>
    <s v="WA"/>
    <x v="23"/>
    <s v="area_code_510"/>
    <x v="0"/>
    <x v="0"/>
    <n v="42"/>
    <n v="159"/>
    <n v="67"/>
    <n v="27.03"/>
    <n v="126.3"/>
    <n v="125"/>
    <n v="10.74"/>
    <n v="206.8"/>
    <n v="88"/>
    <n v="9.31"/>
    <x v="33"/>
    <x v="0"/>
    <x v="33"/>
    <x v="2"/>
    <x v="0"/>
  </r>
  <r>
    <s v="MA"/>
    <x v="82"/>
    <s v="area_code_408"/>
    <x v="0"/>
    <x v="1"/>
    <n v="0"/>
    <n v="286.60000000000002"/>
    <n v="114"/>
    <n v="48.72"/>
    <n v="101"/>
    <n v="138"/>
    <n v="8.59"/>
    <n v="199.6"/>
    <n v="146"/>
    <n v="8.98"/>
    <x v="32"/>
    <x v="4"/>
    <x v="32"/>
    <x v="0"/>
    <x v="0"/>
  </r>
  <r>
    <s v="FL"/>
    <x v="102"/>
    <s v="area_code_408"/>
    <x v="0"/>
    <x v="1"/>
    <n v="0"/>
    <n v="181.9"/>
    <n v="70"/>
    <n v="30.92"/>
    <n v="233.5"/>
    <n v="83"/>
    <n v="19.850000000000001"/>
    <n v="194.6"/>
    <n v="80"/>
    <n v="8.76"/>
    <x v="111"/>
    <x v="6"/>
    <x v="111"/>
    <x v="0"/>
    <x v="0"/>
  </r>
  <r>
    <s v="AR"/>
    <x v="53"/>
    <s v="area_code_408"/>
    <x v="0"/>
    <x v="1"/>
    <n v="0"/>
    <n v="235"/>
    <n v="77"/>
    <n v="39.950000000000003"/>
    <n v="267.3"/>
    <n v="94"/>
    <n v="22.72"/>
    <n v="222.1"/>
    <n v="119"/>
    <n v="9.99"/>
    <x v="58"/>
    <x v="4"/>
    <x v="58"/>
    <x v="3"/>
    <x v="1"/>
  </r>
  <r>
    <s v="AL"/>
    <x v="18"/>
    <s v="area_code_415"/>
    <x v="0"/>
    <x v="1"/>
    <n v="0"/>
    <n v="187.8"/>
    <n v="107"/>
    <n v="31.93"/>
    <n v="246"/>
    <n v="70"/>
    <n v="20.91"/>
    <n v="175.9"/>
    <n v="88"/>
    <n v="7.92"/>
    <x v="26"/>
    <x v="2"/>
    <x v="26"/>
    <x v="1"/>
    <x v="0"/>
  </r>
  <r>
    <s v="CA"/>
    <x v="29"/>
    <s v="area_code_408"/>
    <x v="0"/>
    <x v="1"/>
    <n v="0"/>
    <n v="167.1"/>
    <n v="105"/>
    <n v="28.41"/>
    <n v="131.6"/>
    <n v="120"/>
    <n v="11.19"/>
    <n v="242.6"/>
    <n v="83"/>
    <n v="10.92"/>
    <x v="91"/>
    <x v="5"/>
    <x v="91"/>
    <x v="3"/>
    <x v="0"/>
  </r>
  <r>
    <s v="RI"/>
    <x v="4"/>
    <s v="area_code_415"/>
    <x v="0"/>
    <x v="0"/>
    <n v="22"/>
    <n v="212.3"/>
    <n v="107"/>
    <n v="36.090000000000003"/>
    <n v="238"/>
    <n v="94"/>
    <n v="20.23"/>
    <n v="332.8"/>
    <n v="114"/>
    <n v="14.98"/>
    <x v="91"/>
    <x v="5"/>
    <x v="91"/>
    <x v="0"/>
    <x v="0"/>
  </r>
  <r>
    <s v="ND"/>
    <x v="20"/>
    <s v="area_code_415"/>
    <x v="1"/>
    <x v="1"/>
    <n v="0"/>
    <n v="227.4"/>
    <n v="94"/>
    <n v="38.659999999999997"/>
    <n v="146.4"/>
    <n v="115"/>
    <n v="12.44"/>
    <n v="211.4"/>
    <n v="92"/>
    <n v="9.51"/>
    <x v="24"/>
    <x v="1"/>
    <x v="24"/>
    <x v="0"/>
    <x v="0"/>
  </r>
  <r>
    <s v="MT"/>
    <x v="69"/>
    <s v="area_code_415"/>
    <x v="0"/>
    <x v="1"/>
    <n v="0"/>
    <n v="162.5"/>
    <n v="86"/>
    <n v="27.63"/>
    <n v="165.4"/>
    <n v="112"/>
    <n v="14.06"/>
    <n v="163.69999999999999"/>
    <n v="67"/>
    <n v="7.37"/>
    <x v="83"/>
    <x v="3"/>
    <x v="83"/>
    <x v="4"/>
    <x v="1"/>
  </r>
  <r>
    <s v="NJ"/>
    <x v="35"/>
    <s v="area_code_415"/>
    <x v="0"/>
    <x v="1"/>
    <n v="0"/>
    <n v="259.60000000000002"/>
    <n v="138"/>
    <n v="44.13"/>
    <n v="233.9"/>
    <n v="91"/>
    <n v="19.88"/>
    <n v="140.6"/>
    <n v="119"/>
    <n v="6.33"/>
    <x v="14"/>
    <x v="4"/>
    <x v="14"/>
    <x v="0"/>
    <x v="0"/>
  </r>
  <r>
    <s v="OK"/>
    <x v="169"/>
    <s v="area_code_408"/>
    <x v="0"/>
    <x v="0"/>
    <n v="10"/>
    <n v="159.4"/>
    <n v="79"/>
    <n v="27.1"/>
    <n v="91"/>
    <n v="94"/>
    <n v="7.74"/>
    <n v="199.5"/>
    <n v="137"/>
    <n v="8.98"/>
    <x v="13"/>
    <x v="0"/>
    <x v="13"/>
    <x v="2"/>
    <x v="0"/>
  </r>
  <r>
    <s v="ME"/>
    <x v="20"/>
    <s v="area_code_510"/>
    <x v="0"/>
    <x v="0"/>
    <n v="37"/>
    <n v="69.5"/>
    <n v="94"/>
    <n v="11.82"/>
    <n v="220.9"/>
    <n v="76"/>
    <n v="18.78"/>
    <n v="218.5"/>
    <n v="113"/>
    <n v="9.83"/>
    <x v="78"/>
    <x v="0"/>
    <x v="78"/>
    <x v="1"/>
    <x v="0"/>
  </r>
  <r>
    <s v="OK"/>
    <x v="143"/>
    <s v="area_code_415"/>
    <x v="1"/>
    <x v="1"/>
    <n v="0"/>
    <n v="166.5"/>
    <n v="101"/>
    <n v="28.31"/>
    <n v="268.39999999999998"/>
    <n v="119"/>
    <n v="22.81"/>
    <n v="126.2"/>
    <n v="112"/>
    <n v="5.68"/>
    <x v="39"/>
    <x v="0"/>
    <x v="39"/>
    <x v="3"/>
    <x v="0"/>
  </r>
  <r>
    <s v="IL"/>
    <x v="103"/>
    <s v="area_code_415"/>
    <x v="0"/>
    <x v="0"/>
    <n v="21"/>
    <n v="134.4"/>
    <n v="110"/>
    <n v="22.85"/>
    <n v="136.19999999999999"/>
    <n v="104"/>
    <n v="11.58"/>
    <n v="215.6"/>
    <n v="105"/>
    <n v="9.6999999999999993"/>
    <x v="84"/>
    <x v="4"/>
    <x v="84"/>
    <x v="3"/>
    <x v="0"/>
  </r>
  <r>
    <s v="GA"/>
    <x v="52"/>
    <s v="area_code_408"/>
    <x v="0"/>
    <x v="0"/>
    <n v="21"/>
    <n v="205.2"/>
    <n v="128"/>
    <n v="34.880000000000003"/>
    <n v="231.7"/>
    <n v="128"/>
    <n v="19.690000000000001"/>
    <n v="180.3"/>
    <n v="100"/>
    <n v="8.11"/>
    <x v="15"/>
    <x v="0"/>
    <x v="15"/>
    <x v="2"/>
    <x v="0"/>
  </r>
  <r>
    <s v="NC"/>
    <x v="85"/>
    <s v="area_code_415"/>
    <x v="0"/>
    <x v="0"/>
    <n v="26"/>
    <n v="132.30000000000001"/>
    <n v="142"/>
    <n v="22.49"/>
    <n v="273.39999999999998"/>
    <n v="89"/>
    <n v="23.24"/>
    <n v="195.7"/>
    <n v="77"/>
    <n v="8.81"/>
    <x v="102"/>
    <x v="2"/>
    <x v="102"/>
    <x v="1"/>
    <x v="0"/>
  </r>
  <r>
    <s v="HI"/>
    <x v="19"/>
    <s v="area_code_415"/>
    <x v="0"/>
    <x v="1"/>
    <n v="0"/>
    <n v="140.30000000000001"/>
    <n v="144"/>
    <n v="23.85"/>
    <n v="294.8"/>
    <n v="89"/>
    <n v="25.06"/>
    <n v="153.5"/>
    <n v="126"/>
    <n v="6.91"/>
    <x v="50"/>
    <x v="4"/>
    <x v="50"/>
    <x v="2"/>
    <x v="0"/>
  </r>
  <r>
    <s v="OK"/>
    <x v="153"/>
    <s v="area_code_415"/>
    <x v="0"/>
    <x v="1"/>
    <n v="0"/>
    <n v="284.60000000000002"/>
    <n v="113"/>
    <n v="48.38"/>
    <n v="141.80000000000001"/>
    <n v="101"/>
    <n v="12.05"/>
    <n v="127.4"/>
    <n v="78"/>
    <n v="5.73"/>
    <x v="44"/>
    <x v="1"/>
    <x v="44"/>
    <x v="1"/>
    <x v="0"/>
  </r>
  <r>
    <s v="DC"/>
    <x v="112"/>
    <s v="area_code_415"/>
    <x v="0"/>
    <x v="0"/>
    <n v="29"/>
    <n v="189.3"/>
    <n v="107"/>
    <n v="32.18"/>
    <n v="221.3"/>
    <n v="101"/>
    <n v="18.809999999999999"/>
    <n v="325.60000000000002"/>
    <n v="137"/>
    <n v="14.65"/>
    <x v="12"/>
    <x v="0"/>
    <x v="12"/>
    <x v="0"/>
    <x v="0"/>
  </r>
  <r>
    <s v="SC"/>
    <x v="25"/>
    <s v="area_code_415"/>
    <x v="0"/>
    <x v="1"/>
    <n v="0"/>
    <n v="184.6"/>
    <n v="132"/>
    <n v="31.38"/>
    <n v="193.7"/>
    <n v="69"/>
    <n v="16.46"/>
    <n v="283.5"/>
    <n v="83"/>
    <n v="12.76"/>
    <x v="96"/>
    <x v="0"/>
    <x v="96"/>
    <x v="0"/>
    <x v="0"/>
  </r>
  <r>
    <s v="MN"/>
    <x v="98"/>
    <s v="area_code_415"/>
    <x v="0"/>
    <x v="1"/>
    <n v="0"/>
    <n v="161.6"/>
    <n v="96"/>
    <n v="27.47"/>
    <n v="223.9"/>
    <n v="113"/>
    <n v="19.03"/>
    <n v="240.6"/>
    <n v="137"/>
    <n v="10.83"/>
    <x v="36"/>
    <x v="5"/>
    <x v="36"/>
    <x v="1"/>
    <x v="0"/>
  </r>
  <r>
    <s v="HI"/>
    <x v="1"/>
    <s v="area_code_510"/>
    <x v="0"/>
    <x v="0"/>
    <n v="20"/>
    <n v="268.5"/>
    <n v="91"/>
    <n v="45.65"/>
    <n v="128.80000000000001"/>
    <n v="121"/>
    <n v="10.95"/>
    <n v="146.4"/>
    <n v="98"/>
    <n v="6.59"/>
    <x v="8"/>
    <x v="3"/>
    <x v="8"/>
    <x v="0"/>
    <x v="0"/>
  </r>
  <r>
    <s v="NJ"/>
    <x v="93"/>
    <s v="area_code_415"/>
    <x v="0"/>
    <x v="1"/>
    <n v="0"/>
    <n v="178"/>
    <n v="77"/>
    <n v="30.26"/>
    <n v="233.6"/>
    <n v="88"/>
    <n v="19.86"/>
    <n v="175.6"/>
    <n v="88"/>
    <n v="7.9"/>
    <x v="21"/>
    <x v="4"/>
    <x v="21"/>
    <x v="2"/>
    <x v="0"/>
  </r>
  <r>
    <s v="MI"/>
    <x v="180"/>
    <s v="area_code_415"/>
    <x v="0"/>
    <x v="1"/>
    <n v="0"/>
    <n v="215.6"/>
    <n v="90"/>
    <n v="36.65"/>
    <n v="171.6"/>
    <n v="99"/>
    <n v="14.59"/>
    <n v="110.4"/>
    <n v="105"/>
    <n v="4.97"/>
    <x v="61"/>
    <x v="3"/>
    <x v="61"/>
    <x v="0"/>
    <x v="0"/>
  </r>
  <r>
    <s v="UT"/>
    <x v="187"/>
    <s v="area_code_510"/>
    <x v="0"/>
    <x v="1"/>
    <n v="0"/>
    <n v="253.9"/>
    <n v="69"/>
    <n v="43.16"/>
    <n v="184.2"/>
    <n v="138"/>
    <n v="15.66"/>
    <n v="174.3"/>
    <n v="83"/>
    <n v="7.84"/>
    <x v="162"/>
    <x v="2"/>
    <x v="162"/>
    <x v="0"/>
    <x v="0"/>
  </r>
  <r>
    <s v="IA"/>
    <x v="62"/>
    <s v="area_code_408"/>
    <x v="0"/>
    <x v="0"/>
    <n v="22"/>
    <n v="182.8"/>
    <n v="142"/>
    <n v="31.08"/>
    <n v="229.3"/>
    <n v="111"/>
    <n v="19.489999999999998"/>
    <n v="313.8"/>
    <n v="85"/>
    <n v="14.12"/>
    <x v="61"/>
    <x v="5"/>
    <x v="61"/>
    <x v="0"/>
    <x v="0"/>
  </r>
  <r>
    <s v="CO"/>
    <x v="49"/>
    <s v="area_code_415"/>
    <x v="0"/>
    <x v="1"/>
    <n v="0"/>
    <n v="120"/>
    <n v="82"/>
    <n v="20.399999999999999"/>
    <n v="213.6"/>
    <n v="111"/>
    <n v="18.16"/>
    <n v="312.89999999999998"/>
    <n v="136"/>
    <n v="14.08"/>
    <x v="4"/>
    <x v="3"/>
    <x v="4"/>
    <x v="0"/>
    <x v="0"/>
  </r>
  <r>
    <s v="MS"/>
    <x v="51"/>
    <s v="area_code_408"/>
    <x v="0"/>
    <x v="1"/>
    <n v="0"/>
    <n v="138.69999999999999"/>
    <n v="124"/>
    <n v="23.58"/>
    <n v="280.3"/>
    <n v="64"/>
    <n v="23.83"/>
    <n v="206.7"/>
    <n v="98"/>
    <n v="9.3000000000000007"/>
    <x v="91"/>
    <x v="4"/>
    <x v="91"/>
    <x v="0"/>
    <x v="0"/>
  </r>
  <r>
    <s v="MA"/>
    <x v="116"/>
    <s v="area_code_408"/>
    <x v="0"/>
    <x v="1"/>
    <n v="0"/>
    <n v="189"/>
    <n v="122"/>
    <n v="32.130000000000003"/>
    <n v="179.2"/>
    <n v="91"/>
    <n v="15.23"/>
    <n v="186.8"/>
    <n v="170"/>
    <n v="8.41"/>
    <x v="22"/>
    <x v="3"/>
    <x v="22"/>
    <x v="1"/>
    <x v="0"/>
  </r>
  <r>
    <s v="NY"/>
    <x v="5"/>
    <s v="area_code_408"/>
    <x v="0"/>
    <x v="1"/>
    <n v="0"/>
    <n v="134.6"/>
    <n v="91"/>
    <n v="22.88"/>
    <n v="175.1"/>
    <n v="83"/>
    <n v="14.88"/>
    <n v="201.1"/>
    <n v="114"/>
    <n v="9.0500000000000007"/>
    <x v="56"/>
    <x v="0"/>
    <x v="56"/>
    <x v="1"/>
    <x v="0"/>
  </r>
  <r>
    <s v="VA"/>
    <x v="142"/>
    <s v="area_code_408"/>
    <x v="0"/>
    <x v="1"/>
    <n v="0"/>
    <n v="181.4"/>
    <n v="106"/>
    <n v="30.84"/>
    <n v="145.80000000000001"/>
    <n v="77"/>
    <n v="12.39"/>
    <n v="200.3"/>
    <n v="85"/>
    <n v="9.01"/>
    <x v="57"/>
    <x v="0"/>
    <x v="57"/>
    <x v="1"/>
    <x v="0"/>
  </r>
  <r>
    <s v="IN"/>
    <x v="104"/>
    <s v="area_code_510"/>
    <x v="0"/>
    <x v="0"/>
    <n v="23"/>
    <n v="194.6"/>
    <n v="106"/>
    <n v="33.08"/>
    <n v="199.8"/>
    <n v="132"/>
    <n v="16.98"/>
    <n v="189.6"/>
    <n v="88"/>
    <n v="8.5299999999999994"/>
    <x v="3"/>
    <x v="2"/>
    <x v="3"/>
    <x v="4"/>
    <x v="0"/>
  </r>
  <r>
    <s v="NH"/>
    <x v="74"/>
    <s v="area_code_415"/>
    <x v="0"/>
    <x v="0"/>
    <n v="39"/>
    <n v="268.10000000000002"/>
    <n v="104"/>
    <n v="45.58"/>
    <n v="216.6"/>
    <n v="65"/>
    <n v="18.41"/>
    <n v="359.9"/>
    <n v="118"/>
    <n v="16.2"/>
    <x v="37"/>
    <x v="4"/>
    <x v="37"/>
    <x v="1"/>
    <x v="0"/>
  </r>
  <r>
    <s v="AK"/>
    <x v="153"/>
    <s v="area_code_510"/>
    <x v="0"/>
    <x v="1"/>
    <n v="0"/>
    <n v="302.8"/>
    <n v="143"/>
    <n v="51.48"/>
    <n v="189.8"/>
    <n v="69"/>
    <n v="16.13"/>
    <n v="214.9"/>
    <n v="114"/>
    <n v="9.67"/>
    <x v="54"/>
    <x v="4"/>
    <x v="54"/>
    <x v="2"/>
    <x v="1"/>
  </r>
  <r>
    <s v="WV"/>
    <x v="133"/>
    <s v="area_code_408"/>
    <x v="0"/>
    <x v="1"/>
    <n v="0"/>
    <n v="213.2"/>
    <n v="85"/>
    <n v="36.24"/>
    <n v="224"/>
    <n v="128"/>
    <n v="19.04"/>
    <n v="137.80000000000001"/>
    <n v="74"/>
    <n v="6.2"/>
    <x v="60"/>
    <x v="1"/>
    <x v="60"/>
    <x v="0"/>
    <x v="0"/>
  </r>
  <r>
    <s v="NM"/>
    <x v="78"/>
    <s v="area_code_408"/>
    <x v="0"/>
    <x v="1"/>
    <n v="0"/>
    <n v="107.9"/>
    <n v="111"/>
    <n v="18.34"/>
    <n v="166.9"/>
    <n v="129"/>
    <n v="14.19"/>
    <n v="208.5"/>
    <n v="78"/>
    <n v="9.3800000000000008"/>
    <x v="84"/>
    <x v="0"/>
    <x v="84"/>
    <x v="0"/>
    <x v="0"/>
  </r>
  <r>
    <s v="RI"/>
    <x v="49"/>
    <s v="area_code_510"/>
    <x v="0"/>
    <x v="1"/>
    <n v="0"/>
    <n v="181.7"/>
    <n v="102"/>
    <n v="30.89"/>
    <n v="216.3"/>
    <n v="114"/>
    <n v="18.39"/>
    <n v="317.89999999999998"/>
    <n v="83"/>
    <n v="14.31"/>
    <x v="70"/>
    <x v="3"/>
    <x v="70"/>
    <x v="0"/>
    <x v="0"/>
  </r>
  <r>
    <s v="KS"/>
    <x v="130"/>
    <s v="area_code_408"/>
    <x v="0"/>
    <x v="1"/>
    <n v="0"/>
    <n v="191.8"/>
    <n v="105"/>
    <n v="32.61"/>
    <n v="148.69999999999999"/>
    <n v="96"/>
    <n v="12.64"/>
    <n v="234.8"/>
    <n v="123"/>
    <n v="10.57"/>
    <x v="163"/>
    <x v="4"/>
    <x v="163"/>
    <x v="0"/>
    <x v="0"/>
  </r>
  <r>
    <s v="AR"/>
    <x v="63"/>
    <s v="area_code_408"/>
    <x v="0"/>
    <x v="0"/>
    <n v="21"/>
    <n v="180.2"/>
    <n v="97"/>
    <n v="30.63"/>
    <n v="167.7"/>
    <n v="47"/>
    <n v="14.25"/>
    <n v="203.1"/>
    <n v="84"/>
    <n v="9.14"/>
    <x v="28"/>
    <x v="1"/>
    <x v="28"/>
    <x v="2"/>
    <x v="0"/>
  </r>
  <r>
    <s v="NH"/>
    <x v="115"/>
    <s v="area_code_408"/>
    <x v="0"/>
    <x v="1"/>
    <n v="0"/>
    <n v="215.1"/>
    <n v="105"/>
    <n v="36.57"/>
    <n v="249.4"/>
    <n v="104"/>
    <n v="21.2"/>
    <n v="249.9"/>
    <n v="83"/>
    <n v="11.25"/>
    <x v="81"/>
    <x v="10"/>
    <x v="81"/>
    <x v="2"/>
    <x v="0"/>
  </r>
  <r>
    <s v="KY"/>
    <x v="61"/>
    <s v="area_code_510"/>
    <x v="1"/>
    <x v="0"/>
    <n v="38"/>
    <n v="234.6"/>
    <n v="84"/>
    <n v="39.880000000000003"/>
    <n v="214.9"/>
    <n v="119"/>
    <n v="18.27"/>
    <n v="196.7"/>
    <n v="69"/>
    <n v="8.85"/>
    <x v="40"/>
    <x v="5"/>
    <x v="40"/>
    <x v="0"/>
    <x v="1"/>
  </r>
  <r>
    <s v="KS"/>
    <x v="97"/>
    <s v="area_code_415"/>
    <x v="0"/>
    <x v="0"/>
    <n v="43"/>
    <n v="158.19999999999999"/>
    <n v="94"/>
    <n v="26.89"/>
    <n v="213.2"/>
    <n v="105"/>
    <n v="18.12"/>
    <n v="190.4"/>
    <n v="91"/>
    <n v="8.57"/>
    <x v="31"/>
    <x v="5"/>
    <x v="31"/>
    <x v="2"/>
    <x v="0"/>
  </r>
  <r>
    <s v="SC"/>
    <x v="34"/>
    <s v="area_code_510"/>
    <x v="0"/>
    <x v="1"/>
    <n v="0"/>
    <n v="204.2"/>
    <n v="98"/>
    <n v="34.71"/>
    <n v="188.9"/>
    <n v="85"/>
    <n v="16.059999999999999"/>
    <n v="231.2"/>
    <n v="136"/>
    <n v="10.4"/>
    <x v="94"/>
    <x v="3"/>
    <x v="94"/>
    <x v="0"/>
    <x v="0"/>
  </r>
  <r>
    <s v="ID"/>
    <x v="65"/>
    <s v="area_code_415"/>
    <x v="0"/>
    <x v="1"/>
    <n v="0"/>
    <n v="221.8"/>
    <n v="105"/>
    <n v="37.71"/>
    <n v="108.2"/>
    <n v="107"/>
    <n v="9.1999999999999993"/>
    <n v="207.1"/>
    <n v="87"/>
    <n v="9.32"/>
    <x v="47"/>
    <x v="0"/>
    <x v="47"/>
    <x v="2"/>
    <x v="0"/>
  </r>
  <r>
    <s v="OH"/>
    <x v="185"/>
    <s v="area_code_415"/>
    <x v="0"/>
    <x v="0"/>
    <n v="14"/>
    <n v="183"/>
    <n v="113"/>
    <n v="31.11"/>
    <n v="187"/>
    <n v="144"/>
    <n v="15.9"/>
    <n v="181.1"/>
    <n v="112"/>
    <n v="8.15"/>
    <x v="39"/>
    <x v="0"/>
    <x v="39"/>
    <x v="0"/>
    <x v="0"/>
  </r>
  <r>
    <s v="AL"/>
    <x v="158"/>
    <s v="area_code_510"/>
    <x v="0"/>
    <x v="1"/>
    <n v="0"/>
    <n v="221.5"/>
    <n v="103"/>
    <n v="37.659999999999997"/>
    <n v="109.5"/>
    <n v="58"/>
    <n v="9.31"/>
    <n v="134.6"/>
    <n v="115"/>
    <n v="6.06"/>
    <x v="43"/>
    <x v="4"/>
    <x v="43"/>
    <x v="0"/>
    <x v="0"/>
  </r>
  <r>
    <s v="KS"/>
    <x v="111"/>
    <s v="area_code_415"/>
    <x v="0"/>
    <x v="1"/>
    <n v="0"/>
    <n v="228.1"/>
    <n v="77"/>
    <n v="38.78"/>
    <n v="176.3"/>
    <n v="102"/>
    <n v="14.99"/>
    <n v="224.5"/>
    <n v="119"/>
    <n v="10.1"/>
    <x v="4"/>
    <x v="8"/>
    <x v="4"/>
    <x v="1"/>
    <x v="0"/>
  </r>
  <r>
    <s v="CT"/>
    <x v="90"/>
    <s v="area_code_510"/>
    <x v="1"/>
    <x v="1"/>
    <n v="0"/>
    <n v="197.7"/>
    <n v="99"/>
    <n v="33.61"/>
    <n v="188.8"/>
    <n v="106"/>
    <n v="16.05"/>
    <n v="254.6"/>
    <n v="80"/>
    <n v="11.46"/>
    <x v="164"/>
    <x v="4"/>
    <x v="164"/>
    <x v="3"/>
    <x v="1"/>
  </r>
  <r>
    <s v="WY"/>
    <x v="8"/>
    <s v="area_code_415"/>
    <x v="0"/>
    <x v="0"/>
    <n v="21"/>
    <n v="135.1"/>
    <n v="120"/>
    <n v="22.97"/>
    <n v="238.4"/>
    <n v="90"/>
    <n v="20.260000000000002"/>
    <n v="286.39999999999998"/>
    <n v="93"/>
    <n v="12.89"/>
    <x v="34"/>
    <x v="6"/>
    <x v="34"/>
    <x v="4"/>
    <x v="0"/>
  </r>
  <r>
    <s v="NV"/>
    <x v="11"/>
    <s v="area_code_415"/>
    <x v="0"/>
    <x v="0"/>
    <n v="35"/>
    <n v="238.3"/>
    <n v="86"/>
    <n v="40.51"/>
    <n v="258.10000000000002"/>
    <n v="132"/>
    <n v="21.94"/>
    <n v="194.9"/>
    <n v="72"/>
    <n v="8.77"/>
    <x v="67"/>
    <x v="4"/>
    <x v="67"/>
    <x v="5"/>
    <x v="0"/>
  </r>
  <r>
    <s v="ID"/>
    <x v="152"/>
    <s v="area_code_415"/>
    <x v="0"/>
    <x v="0"/>
    <n v="28"/>
    <n v="196.2"/>
    <n v="88"/>
    <n v="33.35"/>
    <n v="194.8"/>
    <n v="106"/>
    <n v="16.559999999999999"/>
    <n v="243"/>
    <n v="103"/>
    <n v="10.93"/>
    <x v="26"/>
    <x v="11"/>
    <x v="26"/>
    <x v="1"/>
    <x v="0"/>
  </r>
  <r>
    <s v="IN"/>
    <x v="23"/>
    <s v="area_code_415"/>
    <x v="0"/>
    <x v="0"/>
    <n v="20"/>
    <n v="205.9"/>
    <n v="109"/>
    <n v="35"/>
    <n v="298.39999999999998"/>
    <n v="105"/>
    <n v="25.36"/>
    <n v="142.1"/>
    <n v="91"/>
    <n v="6.39"/>
    <x v="10"/>
    <x v="0"/>
    <x v="10"/>
    <x v="4"/>
    <x v="0"/>
  </r>
  <r>
    <s v="AK"/>
    <x v="130"/>
    <s v="area_code_415"/>
    <x v="0"/>
    <x v="1"/>
    <n v="0"/>
    <n v="174.1"/>
    <n v="97"/>
    <n v="29.6"/>
    <n v="174.6"/>
    <n v="104"/>
    <n v="14.84"/>
    <n v="182.7"/>
    <n v="158"/>
    <n v="8.2200000000000006"/>
    <x v="38"/>
    <x v="4"/>
    <x v="38"/>
    <x v="3"/>
    <x v="0"/>
  </r>
  <r>
    <s v="AR"/>
    <x v="184"/>
    <s v="area_code_408"/>
    <x v="0"/>
    <x v="1"/>
    <n v="0"/>
    <n v="154.6"/>
    <n v="81"/>
    <n v="26.28"/>
    <n v="147.30000000000001"/>
    <n v="100"/>
    <n v="12.52"/>
    <n v="132.9"/>
    <n v="99"/>
    <n v="5.98"/>
    <x v="72"/>
    <x v="1"/>
    <x v="72"/>
    <x v="1"/>
    <x v="0"/>
  </r>
  <r>
    <s v="WI"/>
    <x v="28"/>
    <s v="area_code_415"/>
    <x v="1"/>
    <x v="0"/>
    <n v="20"/>
    <n v="186.2"/>
    <n v="112"/>
    <n v="31.65"/>
    <n v="145.30000000000001"/>
    <n v="65"/>
    <n v="12.35"/>
    <n v="142.80000000000001"/>
    <n v="104"/>
    <n v="6.43"/>
    <x v="54"/>
    <x v="4"/>
    <x v="54"/>
    <x v="3"/>
    <x v="0"/>
  </r>
  <r>
    <s v="IN"/>
    <x v="40"/>
    <s v="area_code_415"/>
    <x v="0"/>
    <x v="1"/>
    <n v="0"/>
    <n v="176.1"/>
    <n v="113"/>
    <n v="29.94"/>
    <n v="162"/>
    <n v="80"/>
    <n v="13.77"/>
    <n v="160.9"/>
    <n v="83"/>
    <n v="7.24"/>
    <x v="78"/>
    <x v="4"/>
    <x v="78"/>
    <x v="0"/>
    <x v="0"/>
  </r>
  <r>
    <s v="AZ"/>
    <x v="69"/>
    <s v="area_code_415"/>
    <x v="0"/>
    <x v="0"/>
    <n v="19"/>
    <n v="163"/>
    <n v="75"/>
    <n v="27.71"/>
    <n v="238.4"/>
    <n v="103"/>
    <n v="20.260000000000002"/>
    <n v="171.8"/>
    <n v="100"/>
    <n v="7.73"/>
    <x v="61"/>
    <x v="0"/>
    <x v="61"/>
    <x v="3"/>
    <x v="0"/>
  </r>
  <r>
    <s v="IN"/>
    <x v="89"/>
    <s v="area_code_415"/>
    <x v="0"/>
    <x v="1"/>
    <n v="0"/>
    <n v="103.6"/>
    <n v="78"/>
    <n v="17.61"/>
    <n v="238.5"/>
    <n v="115"/>
    <n v="20.27"/>
    <n v="186.9"/>
    <n v="70"/>
    <n v="8.41"/>
    <x v="34"/>
    <x v="4"/>
    <x v="34"/>
    <x v="2"/>
    <x v="0"/>
  </r>
  <r>
    <s v="NC"/>
    <x v="18"/>
    <s v="area_code_415"/>
    <x v="0"/>
    <x v="1"/>
    <n v="0"/>
    <n v="162.1"/>
    <n v="98"/>
    <n v="27.56"/>
    <n v="217.6"/>
    <n v="87"/>
    <n v="18.5"/>
    <n v="264.10000000000002"/>
    <n v="107"/>
    <n v="11.88"/>
    <x v="18"/>
    <x v="8"/>
    <x v="18"/>
    <x v="1"/>
    <x v="0"/>
  </r>
  <r>
    <s v="MD"/>
    <x v="39"/>
    <s v="area_code_415"/>
    <x v="0"/>
    <x v="1"/>
    <n v="0"/>
    <n v="149.19999999999999"/>
    <n v="125"/>
    <n v="25.36"/>
    <n v="210.6"/>
    <n v="119"/>
    <n v="17.899999999999999"/>
    <n v="290.5"/>
    <n v="102"/>
    <n v="13.07"/>
    <x v="27"/>
    <x v="0"/>
    <x v="27"/>
    <x v="4"/>
    <x v="0"/>
  </r>
  <r>
    <s v="NM"/>
    <x v="134"/>
    <s v="area_code_415"/>
    <x v="0"/>
    <x v="1"/>
    <n v="0"/>
    <n v="187.3"/>
    <n v="108"/>
    <n v="31.84"/>
    <n v="177.1"/>
    <n v="72"/>
    <n v="15.05"/>
    <n v="269.2"/>
    <n v="135"/>
    <n v="12.11"/>
    <x v="17"/>
    <x v="0"/>
    <x v="17"/>
    <x v="3"/>
    <x v="0"/>
  </r>
  <r>
    <s v="OH"/>
    <x v="106"/>
    <s v="area_code_510"/>
    <x v="0"/>
    <x v="1"/>
    <n v="0"/>
    <n v="222.4"/>
    <n v="90"/>
    <n v="37.81"/>
    <n v="286.3"/>
    <n v="104"/>
    <n v="24.34"/>
    <n v="300.8"/>
    <n v="95"/>
    <n v="13.54"/>
    <x v="79"/>
    <x v="0"/>
    <x v="79"/>
    <x v="2"/>
    <x v="1"/>
  </r>
  <r>
    <s v="IN"/>
    <x v="105"/>
    <s v="area_code_415"/>
    <x v="0"/>
    <x v="1"/>
    <n v="0"/>
    <n v="82.7"/>
    <n v="94"/>
    <n v="14.06"/>
    <n v="157.5"/>
    <n v="130"/>
    <n v="13.39"/>
    <n v="205.9"/>
    <n v="81"/>
    <n v="9.27"/>
    <x v="15"/>
    <x v="4"/>
    <x v="15"/>
    <x v="1"/>
    <x v="1"/>
  </r>
  <r>
    <s v="VA"/>
    <x v="178"/>
    <s v="area_code_408"/>
    <x v="0"/>
    <x v="0"/>
    <n v="24"/>
    <n v="215.2"/>
    <n v="73"/>
    <n v="36.58"/>
    <n v="133.1"/>
    <n v="85"/>
    <n v="11.31"/>
    <n v="205.1"/>
    <n v="79"/>
    <n v="9.23"/>
    <x v="54"/>
    <x v="2"/>
    <x v="54"/>
    <x v="1"/>
    <x v="0"/>
  </r>
  <r>
    <s v="AL"/>
    <x v="143"/>
    <s v="area_code_415"/>
    <x v="0"/>
    <x v="1"/>
    <n v="0"/>
    <n v="168"/>
    <n v="103"/>
    <n v="28.56"/>
    <n v="190.8"/>
    <n v="100"/>
    <n v="16.22"/>
    <n v="196.9"/>
    <n v="65"/>
    <n v="8.86"/>
    <x v="5"/>
    <x v="4"/>
    <x v="5"/>
    <x v="1"/>
    <x v="0"/>
  </r>
  <r>
    <s v="IA"/>
    <x v="134"/>
    <s v="area_code_415"/>
    <x v="0"/>
    <x v="0"/>
    <n v="12"/>
    <n v="62.4"/>
    <n v="119"/>
    <n v="10.61"/>
    <n v="237.6"/>
    <n v="96"/>
    <n v="20.2"/>
    <n v="193.4"/>
    <n v="116"/>
    <n v="8.6999999999999993"/>
    <x v="35"/>
    <x v="5"/>
    <x v="35"/>
    <x v="1"/>
    <x v="0"/>
  </r>
  <r>
    <s v="VA"/>
    <x v="90"/>
    <s v="area_code_415"/>
    <x v="0"/>
    <x v="0"/>
    <n v="41"/>
    <n v="226"/>
    <n v="113"/>
    <n v="38.42"/>
    <n v="149.80000000000001"/>
    <n v="115"/>
    <n v="12.73"/>
    <n v="184.9"/>
    <n v="88"/>
    <n v="8.32"/>
    <x v="73"/>
    <x v="5"/>
    <x v="73"/>
    <x v="2"/>
    <x v="0"/>
  </r>
  <r>
    <s v="NV"/>
    <x v="58"/>
    <s v="area_code_415"/>
    <x v="0"/>
    <x v="1"/>
    <n v="0"/>
    <n v="205.7"/>
    <n v="80"/>
    <n v="34.97"/>
    <n v="221.4"/>
    <n v="103"/>
    <n v="18.82"/>
    <n v="206.2"/>
    <n v="117"/>
    <n v="9.2799999999999994"/>
    <x v="66"/>
    <x v="1"/>
    <x v="66"/>
    <x v="2"/>
    <x v="0"/>
  </r>
  <r>
    <s v="WY"/>
    <x v="133"/>
    <s v="area_code_415"/>
    <x v="0"/>
    <x v="0"/>
    <n v="20"/>
    <n v="184.8"/>
    <n v="105"/>
    <n v="31.42"/>
    <n v="195"/>
    <n v="169"/>
    <n v="16.579999999999998"/>
    <n v="130.1"/>
    <n v="121"/>
    <n v="5.85"/>
    <x v="43"/>
    <x v="0"/>
    <x v="43"/>
    <x v="0"/>
    <x v="0"/>
  </r>
  <r>
    <s v="MA"/>
    <x v="48"/>
    <s v="area_code_510"/>
    <x v="0"/>
    <x v="1"/>
    <n v="0"/>
    <n v="193.1"/>
    <n v="93"/>
    <n v="32.83"/>
    <n v="206.4"/>
    <n v="85"/>
    <n v="17.54"/>
    <n v="215.9"/>
    <n v="102"/>
    <n v="9.7200000000000006"/>
    <x v="22"/>
    <x v="5"/>
    <x v="22"/>
    <x v="0"/>
    <x v="0"/>
  </r>
  <r>
    <s v="UT"/>
    <x v="112"/>
    <s v="area_code_510"/>
    <x v="1"/>
    <x v="0"/>
    <n v="41"/>
    <n v="225.5"/>
    <n v="95"/>
    <n v="38.340000000000003"/>
    <n v="229.3"/>
    <n v="101"/>
    <n v="19.489999999999998"/>
    <n v="134"/>
    <n v="82"/>
    <n v="6.03"/>
    <x v="43"/>
    <x v="11"/>
    <x v="43"/>
    <x v="2"/>
    <x v="0"/>
  </r>
  <r>
    <s v="NH"/>
    <x v="33"/>
    <s v="area_code_415"/>
    <x v="0"/>
    <x v="1"/>
    <n v="0"/>
    <n v="163.5"/>
    <n v="107"/>
    <n v="27.8"/>
    <n v="187.1"/>
    <n v="91"/>
    <n v="15.9"/>
    <n v="179.1"/>
    <n v="100"/>
    <n v="8.06"/>
    <x v="19"/>
    <x v="8"/>
    <x v="19"/>
    <x v="2"/>
    <x v="0"/>
  </r>
  <r>
    <s v="NJ"/>
    <x v="126"/>
    <s v="area_code_510"/>
    <x v="0"/>
    <x v="0"/>
    <n v="22"/>
    <n v="244.7"/>
    <n v="104"/>
    <n v="41.6"/>
    <n v="203.1"/>
    <n v="88"/>
    <n v="17.260000000000002"/>
    <n v="222"/>
    <n v="84"/>
    <n v="9.99"/>
    <x v="33"/>
    <x v="3"/>
    <x v="33"/>
    <x v="1"/>
    <x v="0"/>
  </r>
  <r>
    <s v="MA"/>
    <x v="153"/>
    <s v="area_code_408"/>
    <x v="0"/>
    <x v="1"/>
    <n v="0"/>
    <n v="216.7"/>
    <n v="70"/>
    <n v="36.840000000000003"/>
    <n v="152.69999999999999"/>
    <n v="102"/>
    <n v="12.98"/>
    <n v="181.2"/>
    <n v="99"/>
    <n v="8.15"/>
    <x v="43"/>
    <x v="3"/>
    <x v="43"/>
    <x v="0"/>
    <x v="0"/>
  </r>
  <r>
    <s v="GA"/>
    <x v="65"/>
    <s v="area_code_415"/>
    <x v="0"/>
    <x v="0"/>
    <n v="15"/>
    <n v="196.8"/>
    <n v="79"/>
    <n v="33.46"/>
    <n v="173.5"/>
    <n v="99"/>
    <n v="14.75"/>
    <n v="274.7"/>
    <n v="108"/>
    <n v="12.36"/>
    <x v="28"/>
    <x v="1"/>
    <x v="28"/>
    <x v="0"/>
    <x v="0"/>
  </r>
  <r>
    <s v="AK"/>
    <x v="75"/>
    <s v="area_code_510"/>
    <x v="0"/>
    <x v="1"/>
    <n v="0"/>
    <n v="197.3"/>
    <n v="120"/>
    <n v="33.54"/>
    <n v="202.4"/>
    <n v="89"/>
    <n v="17.2"/>
    <n v="290.5"/>
    <n v="128"/>
    <n v="13.07"/>
    <x v="107"/>
    <x v="2"/>
    <x v="107"/>
    <x v="0"/>
    <x v="0"/>
  </r>
  <r>
    <s v="AR"/>
    <x v="20"/>
    <s v="area_code_415"/>
    <x v="0"/>
    <x v="0"/>
    <n v="23"/>
    <n v="208.7"/>
    <n v="57"/>
    <n v="35.479999999999997"/>
    <n v="233.4"/>
    <n v="132"/>
    <n v="19.84"/>
    <n v="108.8"/>
    <n v="117"/>
    <n v="4.9000000000000004"/>
    <x v="9"/>
    <x v="1"/>
    <x v="9"/>
    <x v="0"/>
    <x v="0"/>
  </r>
  <r>
    <s v="WV"/>
    <x v="126"/>
    <s v="area_code_408"/>
    <x v="0"/>
    <x v="1"/>
    <n v="0"/>
    <n v="168.4"/>
    <n v="53"/>
    <n v="28.63"/>
    <n v="187.5"/>
    <n v="68"/>
    <n v="15.94"/>
    <n v="204.5"/>
    <n v="125"/>
    <n v="9.1999999999999993"/>
    <x v="52"/>
    <x v="0"/>
    <x v="52"/>
    <x v="0"/>
    <x v="0"/>
  </r>
  <r>
    <s v="OR"/>
    <x v="108"/>
    <s v="area_code_415"/>
    <x v="0"/>
    <x v="1"/>
    <n v="0"/>
    <n v="129.4"/>
    <n v="69"/>
    <n v="22"/>
    <n v="251.3"/>
    <n v="73"/>
    <n v="21.36"/>
    <n v="157.1"/>
    <n v="92"/>
    <n v="7.07"/>
    <x v="91"/>
    <x v="0"/>
    <x v="91"/>
    <x v="0"/>
    <x v="0"/>
  </r>
  <r>
    <s v="ID"/>
    <x v="171"/>
    <s v="area_code_510"/>
    <x v="1"/>
    <x v="1"/>
    <n v="0"/>
    <n v="260.89999999999998"/>
    <n v="94"/>
    <n v="44.35"/>
    <n v="152.80000000000001"/>
    <n v="123"/>
    <n v="12.99"/>
    <n v="212.6"/>
    <n v="94"/>
    <n v="9.57"/>
    <x v="22"/>
    <x v="4"/>
    <x v="22"/>
    <x v="0"/>
    <x v="0"/>
  </r>
  <r>
    <s v="NY"/>
    <x v="90"/>
    <s v="area_code_415"/>
    <x v="0"/>
    <x v="1"/>
    <n v="0"/>
    <n v="267.89999999999998"/>
    <n v="80"/>
    <n v="45.54"/>
    <n v="145.4"/>
    <n v="143"/>
    <n v="12.36"/>
    <n v="273.3"/>
    <n v="119"/>
    <n v="12.3"/>
    <x v="130"/>
    <x v="8"/>
    <x v="130"/>
    <x v="3"/>
    <x v="1"/>
  </r>
  <r>
    <s v="KY"/>
    <x v="19"/>
    <s v="area_code_415"/>
    <x v="0"/>
    <x v="1"/>
    <n v="0"/>
    <n v="172.7"/>
    <n v="90"/>
    <n v="29.36"/>
    <n v="344"/>
    <n v="62"/>
    <n v="29.24"/>
    <n v="301.60000000000002"/>
    <n v="113"/>
    <n v="13.57"/>
    <x v="129"/>
    <x v="4"/>
    <x v="129"/>
    <x v="1"/>
    <x v="0"/>
  </r>
  <r>
    <s v="RI"/>
    <x v="1"/>
    <s v="area_code_408"/>
    <x v="1"/>
    <x v="1"/>
    <n v="0"/>
    <n v="159.1"/>
    <n v="80"/>
    <n v="27.05"/>
    <n v="239.8"/>
    <n v="81"/>
    <n v="20.38"/>
    <n v="249"/>
    <n v="96"/>
    <n v="11.21"/>
    <x v="31"/>
    <x v="1"/>
    <x v="31"/>
    <x v="1"/>
    <x v="0"/>
  </r>
  <r>
    <s v="ID"/>
    <x v="171"/>
    <s v="area_code_510"/>
    <x v="0"/>
    <x v="1"/>
    <n v="0"/>
    <n v="166.8"/>
    <n v="138"/>
    <n v="28.36"/>
    <n v="212.4"/>
    <n v="78"/>
    <n v="18.05"/>
    <n v="194.7"/>
    <n v="70"/>
    <n v="8.76"/>
    <x v="70"/>
    <x v="6"/>
    <x v="70"/>
    <x v="2"/>
    <x v="0"/>
  </r>
  <r>
    <s v="NH"/>
    <x v="40"/>
    <s v="area_code_415"/>
    <x v="0"/>
    <x v="0"/>
    <n v="17"/>
    <n v="145.69999999999999"/>
    <n v="89"/>
    <n v="24.77"/>
    <n v="202.9"/>
    <n v="70"/>
    <n v="17.25"/>
    <n v="212.4"/>
    <n v="92"/>
    <n v="9.56"/>
    <x v="17"/>
    <x v="1"/>
    <x v="17"/>
    <x v="0"/>
    <x v="0"/>
  </r>
  <r>
    <s v="CO"/>
    <x v="29"/>
    <s v="area_code_408"/>
    <x v="0"/>
    <x v="1"/>
    <n v="0"/>
    <n v="129.4"/>
    <n v="104"/>
    <n v="22"/>
    <n v="199"/>
    <n v="96"/>
    <n v="16.920000000000002"/>
    <n v="142.4"/>
    <n v="81"/>
    <n v="6.41"/>
    <x v="10"/>
    <x v="4"/>
    <x v="10"/>
    <x v="0"/>
    <x v="0"/>
  </r>
  <r>
    <s v="IA"/>
    <x v="147"/>
    <s v="area_code_510"/>
    <x v="0"/>
    <x v="1"/>
    <n v="0"/>
    <n v="171.5"/>
    <n v="77"/>
    <n v="29.16"/>
    <n v="261"/>
    <n v="107"/>
    <n v="22.19"/>
    <n v="328.8"/>
    <n v="72"/>
    <n v="14.8"/>
    <x v="39"/>
    <x v="8"/>
    <x v="39"/>
    <x v="1"/>
    <x v="0"/>
  </r>
  <r>
    <s v="MT"/>
    <x v="6"/>
    <s v="area_code_510"/>
    <x v="0"/>
    <x v="1"/>
    <n v="0"/>
    <n v="180.6"/>
    <n v="134"/>
    <n v="30.7"/>
    <n v="216.6"/>
    <n v="96"/>
    <n v="18.41"/>
    <n v="101"/>
    <n v="122"/>
    <n v="4.55"/>
    <x v="15"/>
    <x v="3"/>
    <x v="15"/>
    <x v="4"/>
    <x v="1"/>
  </r>
  <r>
    <s v="WY"/>
    <x v="167"/>
    <s v="area_code_510"/>
    <x v="0"/>
    <x v="0"/>
    <n v="33"/>
    <n v="225.7"/>
    <n v="133"/>
    <n v="38.369999999999997"/>
    <n v="223.9"/>
    <n v="115"/>
    <n v="19.03"/>
    <n v="192.7"/>
    <n v="131"/>
    <n v="8.67"/>
    <x v="7"/>
    <x v="1"/>
    <x v="7"/>
    <x v="3"/>
    <x v="0"/>
  </r>
  <r>
    <s v="WI"/>
    <x v="119"/>
    <s v="area_code_510"/>
    <x v="0"/>
    <x v="1"/>
    <n v="0"/>
    <n v="176.9"/>
    <n v="110"/>
    <n v="30.07"/>
    <n v="274.3"/>
    <n v="114"/>
    <n v="23.32"/>
    <n v="115.3"/>
    <n v="125"/>
    <n v="5.19"/>
    <x v="34"/>
    <x v="5"/>
    <x v="34"/>
    <x v="0"/>
    <x v="0"/>
  </r>
  <r>
    <s v="DE"/>
    <x v="61"/>
    <s v="area_code_415"/>
    <x v="0"/>
    <x v="1"/>
    <n v="0"/>
    <n v="250.5"/>
    <n v="89"/>
    <n v="42.59"/>
    <n v="146.1"/>
    <n v="84"/>
    <n v="12.42"/>
    <n v="164.2"/>
    <n v="60"/>
    <n v="7.39"/>
    <x v="80"/>
    <x v="0"/>
    <x v="80"/>
    <x v="0"/>
    <x v="0"/>
  </r>
  <r>
    <s v="WA"/>
    <x v="146"/>
    <s v="area_code_408"/>
    <x v="0"/>
    <x v="1"/>
    <n v="0"/>
    <n v="282.8"/>
    <n v="108"/>
    <n v="48.08"/>
    <n v="246.3"/>
    <n v="89"/>
    <n v="20.94"/>
    <n v="256.39999999999998"/>
    <n v="96"/>
    <n v="11.54"/>
    <x v="19"/>
    <x v="8"/>
    <x v="19"/>
    <x v="3"/>
    <x v="1"/>
  </r>
  <r>
    <s v="UT"/>
    <x v="75"/>
    <s v="area_code_510"/>
    <x v="0"/>
    <x v="1"/>
    <n v="0"/>
    <n v="142.6"/>
    <n v="90"/>
    <n v="24.24"/>
    <n v="286.8"/>
    <n v="102"/>
    <n v="24.38"/>
    <n v="222.2"/>
    <n v="113"/>
    <n v="10"/>
    <x v="102"/>
    <x v="0"/>
    <x v="102"/>
    <x v="1"/>
    <x v="0"/>
  </r>
  <r>
    <s v="KY"/>
    <x v="162"/>
    <s v="area_code_510"/>
    <x v="0"/>
    <x v="1"/>
    <n v="0"/>
    <n v="276.10000000000002"/>
    <n v="120"/>
    <n v="46.94"/>
    <n v="123.5"/>
    <n v="88"/>
    <n v="10.5"/>
    <n v="261.89999999999998"/>
    <n v="116"/>
    <n v="11.79"/>
    <x v="78"/>
    <x v="1"/>
    <x v="78"/>
    <x v="0"/>
    <x v="0"/>
  </r>
  <r>
    <s v="NH"/>
    <x v="9"/>
    <s v="area_code_510"/>
    <x v="0"/>
    <x v="1"/>
    <n v="0"/>
    <n v="154.30000000000001"/>
    <n v="71"/>
    <n v="26.23"/>
    <n v="262.3"/>
    <n v="105"/>
    <n v="22.3"/>
    <n v="235.3"/>
    <n v="99"/>
    <n v="10.59"/>
    <x v="55"/>
    <x v="4"/>
    <x v="55"/>
    <x v="1"/>
    <x v="0"/>
  </r>
  <r>
    <s v="RI"/>
    <x v="116"/>
    <s v="area_code_408"/>
    <x v="1"/>
    <x v="0"/>
    <n v="35"/>
    <n v="181"/>
    <n v="88"/>
    <n v="30.77"/>
    <n v="222.5"/>
    <n v="113"/>
    <n v="18.91"/>
    <n v="217.8"/>
    <n v="103"/>
    <n v="9.8000000000000007"/>
    <x v="22"/>
    <x v="0"/>
    <x v="22"/>
    <x v="0"/>
    <x v="0"/>
  </r>
  <r>
    <s v="CA"/>
    <x v="34"/>
    <s v="area_code_415"/>
    <x v="0"/>
    <x v="1"/>
    <n v="0"/>
    <n v="108.1"/>
    <n v="81"/>
    <n v="18.38"/>
    <n v="146.9"/>
    <n v="115"/>
    <n v="12.49"/>
    <n v="197.6"/>
    <n v="84"/>
    <n v="8.89"/>
    <x v="62"/>
    <x v="2"/>
    <x v="62"/>
    <x v="0"/>
    <x v="0"/>
  </r>
  <r>
    <s v="PA"/>
    <x v="72"/>
    <s v="area_code_415"/>
    <x v="0"/>
    <x v="0"/>
    <n v="31"/>
    <n v="252.1"/>
    <n v="98"/>
    <n v="42.86"/>
    <n v="215.7"/>
    <n v="149"/>
    <n v="18.329999999999998"/>
    <n v="135.69999999999999"/>
    <n v="117"/>
    <n v="6.11"/>
    <x v="118"/>
    <x v="4"/>
    <x v="118"/>
    <x v="2"/>
    <x v="0"/>
  </r>
  <r>
    <s v="MA"/>
    <x v="54"/>
    <s v="area_code_510"/>
    <x v="0"/>
    <x v="1"/>
    <n v="0"/>
    <n v="160.1"/>
    <n v="64"/>
    <n v="27.22"/>
    <n v="208.7"/>
    <n v="123"/>
    <n v="17.739999999999998"/>
    <n v="199.7"/>
    <n v="84"/>
    <n v="8.99"/>
    <x v="98"/>
    <x v="14"/>
    <x v="98"/>
    <x v="5"/>
    <x v="1"/>
  </r>
  <r>
    <s v="WI"/>
    <x v="55"/>
    <s v="area_code_408"/>
    <x v="0"/>
    <x v="1"/>
    <n v="0"/>
    <n v="217.6"/>
    <n v="82"/>
    <n v="36.99"/>
    <n v="169.4"/>
    <n v="101"/>
    <n v="14.4"/>
    <n v="248.9"/>
    <n v="124"/>
    <n v="11.2"/>
    <x v="8"/>
    <x v="0"/>
    <x v="8"/>
    <x v="1"/>
    <x v="0"/>
  </r>
  <r>
    <s v="MT"/>
    <x v="34"/>
    <s v="area_code_415"/>
    <x v="0"/>
    <x v="0"/>
    <n v="22"/>
    <n v="198.3"/>
    <n v="144"/>
    <n v="33.71"/>
    <n v="157.19999999999999"/>
    <n v="96"/>
    <n v="13.36"/>
    <n v="180.9"/>
    <n v="114"/>
    <n v="8.14"/>
    <x v="22"/>
    <x v="4"/>
    <x v="22"/>
    <x v="2"/>
    <x v="0"/>
  </r>
  <r>
    <s v="GA"/>
    <x v="168"/>
    <s v="area_code_415"/>
    <x v="0"/>
    <x v="0"/>
    <n v="32"/>
    <n v="190.3"/>
    <n v="97"/>
    <n v="32.35"/>
    <n v="279"/>
    <n v="77"/>
    <n v="23.72"/>
    <n v="133.80000000000001"/>
    <n v="117"/>
    <n v="6.02"/>
    <x v="80"/>
    <x v="0"/>
    <x v="80"/>
    <x v="2"/>
    <x v="0"/>
  </r>
  <r>
    <s v="AZ"/>
    <x v="148"/>
    <s v="area_code_408"/>
    <x v="0"/>
    <x v="0"/>
    <n v="23"/>
    <n v="184.7"/>
    <n v="63"/>
    <n v="31.4"/>
    <n v="168"/>
    <n v="62"/>
    <n v="14.28"/>
    <n v="176.1"/>
    <n v="125"/>
    <n v="7.92"/>
    <x v="6"/>
    <x v="1"/>
    <x v="6"/>
    <x v="0"/>
    <x v="0"/>
  </r>
  <r>
    <s v="ME"/>
    <x v="111"/>
    <s v="area_code_510"/>
    <x v="0"/>
    <x v="0"/>
    <n v="16"/>
    <n v="125.1"/>
    <n v="56"/>
    <n v="21.27"/>
    <n v="246.6"/>
    <n v="140"/>
    <n v="20.96"/>
    <n v="235.4"/>
    <n v="109"/>
    <n v="10.59"/>
    <x v="47"/>
    <x v="5"/>
    <x v="47"/>
    <x v="1"/>
    <x v="0"/>
  </r>
  <r>
    <s v="ME"/>
    <x v="132"/>
    <s v="area_code_510"/>
    <x v="0"/>
    <x v="1"/>
    <n v="0"/>
    <n v="181.3"/>
    <n v="100"/>
    <n v="30.82"/>
    <n v="200.5"/>
    <n v="122"/>
    <n v="17.04"/>
    <n v="226.9"/>
    <n v="99"/>
    <n v="10.210000000000001"/>
    <x v="54"/>
    <x v="5"/>
    <x v="54"/>
    <x v="0"/>
    <x v="0"/>
  </r>
  <r>
    <s v="UT"/>
    <x v="39"/>
    <s v="area_code_510"/>
    <x v="1"/>
    <x v="1"/>
    <n v="0"/>
    <n v="99.8"/>
    <n v="101"/>
    <n v="16.97"/>
    <n v="253.6"/>
    <n v="83"/>
    <n v="21.56"/>
    <n v="112.5"/>
    <n v="75"/>
    <n v="5.0599999999999996"/>
    <x v="4"/>
    <x v="3"/>
    <x v="4"/>
    <x v="1"/>
    <x v="0"/>
  </r>
  <r>
    <s v="MD"/>
    <x v="85"/>
    <s v="area_code_408"/>
    <x v="0"/>
    <x v="1"/>
    <n v="0"/>
    <n v="254.8"/>
    <n v="97"/>
    <n v="43.32"/>
    <n v="153.5"/>
    <n v="110"/>
    <n v="13.05"/>
    <n v="217.6"/>
    <n v="117"/>
    <n v="9.7899999999999991"/>
    <x v="62"/>
    <x v="4"/>
    <x v="62"/>
    <x v="0"/>
    <x v="0"/>
  </r>
  <r>
    <s v="DC"/>
    <x v="8"/>
    <s v="area_code_408"/>
    <x v="0"/>
    <x v="1"/>
    <n v="0"/>
    <n v="244.5"/>
    <n v="72"/>
    <n v="41.57"/>
    <n v="206.2"/>
    <n v="88"/>
    <n v="17.53"/>
    <n v="299.8"/>
    <n v="110"/>
    <n v="13.49"/>
    <x v="98"/>
    <x v="8"/>
    <x v="98"/>
    <x v="5"/>
    <x v="1"/>
  </r>
  <r>
    <s v="OH"/>
    <x v="54"/>
    <s v="area_code_408"/>
    <x v="0"/>
    <x v="1"/>
    <n v="0"/>
    <n v="167.7"/>
    <n v="74"/>
    <n v="28.51"/>
    <n v="179.9"/>
    <n v="98"/>
    <n v="15.29"/>
    <n v="166.5"/>
    <n v="73"/>
    <n v="7.49"/>
    <x v="54"/>
    <x v="5"/>
    <x v="54"/>
    <x v="0"/>
    <x v="0"/>
  </r>
  <r>
    <s v="MO"/>
    <x v="1"/>
    <s v="area_code_510"/>
    <x v="0"/>
    <x v="1"/>
    <n v="0"/>
    <n v="79.5"/>
    <n v="121"/>
    <n v="13.52"/>
    <n v="164.1"/>
    <n v="86"/>
    <n v="13.95"/>
    <n v="121.8"/>
    <n v="108"/>
    <n v="5.48"/>
    <x v="50"/>
    <x v="2"/>
    <x v="50"/>
    <x v="2"/>
    <x v="0"/>
  </r>
  <r>
    <s v="ID"/>
    <x v="11"/>
    <s v="area_code_408"/>
    <x v="0"/>
    <x v="1"/>
    <n v="0"/>
    <n v="133"/>
    <n v="94"/>
    <n v="22.61"/>
    <n v="196.6"/>
    <n v="126"/>
    <n v="16.71"/>
    <n v="181"/>
    <n v="128"/>
    <n v="8.15"/>
    <x v="79"/>
    <x v="0"/>
    <x v="79"/>
    <x v="4"/>
    <x v="1"/>
  </r>
  <r>
    <s v="WA"/>
    <x v="98"/>
    <s v="area_code_408"/>
    <x v="0"/>
    <x v="1"/>
    <n v="0"/>
    <n v="297.2"/>
    <n v="113"/>
    <n v="50.52"/>
    <n v="188.8"/>
    <n v="114"/>
    <n v="16.05"/>
    <n v="188.9"/>
    <n v="100"/>
    <n v="8.5"/>
    <x v="70"/>
    <x v="3"/>
    <x v="70"/>
    <x v="0"/>
    <x v="1"/>
  </r>
  <r>
    <s v="NY"/>
    <x v="2"/>
    <s v="area_code_415"/>
    <x v="0"/>
    <x v="1"/>
    <n v="0"/>
    <n v="214.9"/>
    <n v="72"/>
    <n v="36.53"/>
    <n v="197.7"/>
    <n v="92"/>
    <n v="16.8"/>
    <n v="153.1"/>
    <n v="79"/>
    <n v="6.89"/>
    <x v="78"/>
    <x v="5"/>
    <x v="78"/>
    <x v="2"/>
    <x v="0"/>
  </r>
  <r>
    <s v="NJ"/>
    <x v="171"/>
    <s v="area_code_408"/>
    <x v="0"/>
    <x v="1"/>
    <n v="0"/>
    <n v="269.89999999999998"/>
    <n v="99"/>
    <n v="45.88"/>
    <n v="37.799999999999997"/>
    <n v="76"/>
    <n v="3.21"/>
    <n v="166.6"/>
    <n v="139"/>
    <n v="7.5"/>
    <x v="12"/>
    <x v="8"/>
    <x v="12"/>
    <x v="0"/>
    <x v="0"/>
  </r>
  <r>
    <s v="NM"/>
    <x v="101"/>
    <s v="area_code_415"/>
    <x v="0"/>
    <x v="1"/>
    <n v="0"/>
    <n v="143.80000000000001"/>
    <n v="102"/>
    <n v="24.45"/>
    <n v="199.6"/>
    <n v="124"/>
    <n v="16.97"/>
    <n v="177.8"/>
    <n v="65"/>
    <n v="8"/>
    <x v="35"/>
    <x v="4"/>
    <x v="35"/>
    <x v="0"/>
    <x v="0"/>
  </r>
  <r>
    <s v="ID"/>
    <x v="106"/>
    <s v="area_code_415"/>
    <x v="0"/>
    <x v="1"/>
    <n v="0"/>
    <n v="132.19999999999999"/>
    <n v="122"/>
    <n v="22.47"/>
    <n v="169.9"/>
    <n v="101"/>
    <n v="14.44"/>
    <n v="150.1"/>
    <n v="123"/>
    <n v="6.75"/>
    <x v="89"/>
    <x v="12"/>
    <x v="89"/>
    <x v="3"/>
    <x v="1"/>
  </r>
  <r>
    <s v="MO"/>
    <x v="37"/>
    <s v="area_code_408"/>
    <x v="0"/>
    <x v="1"/>
    <n v="0"/>
    <n v="162.80000000000001"/>
    <n v="117"/>
    <n v="27.68"/>
    <n v="163.19999999999999"/>
    <n v="121"/>
    <n v="13.87"/>
    <n v="242.4"/>
    <n v="140"/>
    <n v="10.91"/>
    <x v="66"/>
    <x v="5"/>
    <x v="66"/>
    <x v="0"/>
    <x v="0"/>
  </r>
  <r>
    <s v="NJ"/>
    <x v="126"/>
    <s v="area_code_408"/>
    <x v="0"/>
    <x v="1"/>
    <n v="0"/>
    <n v="351.5"/>
    <n v="95"/>
    <n v="59.76"/>
    <n v="206.8"/>
    <n v="108"/>
    <n v="17.579999999999998"/>
    <n v="275.8"/>
    <n v="146"/>
    <n v="12.41"/>
    <x v="78"/>
    <x v="4"/>
    <x v="78"/>
    <x v="0"/>
    <x v="1"/>
  </r>
  <r>
    <s v="NC"/>
    <x v="47"/>
    <s v="area_code_415"/>
    <x v="0"/>
    <x v="1"/>
    <n v="0"/>
    <n v="165.8"/>
    <n v="96"/>
    <n v="28.19"/>
    <n v="132"/>
    <n v="105"/>
    <n v="11.22"/>
    <n v="323.2"/>
    <n v="62"/>
    <n v="14.54"/>
    <x v="85"/>
    <x v="3"/>
    <x v="85"/>
    <x v="1"/>
    <x v="0"/>
  </r>
  <r>
    <s v="KY"/>
    <x v="50"/>
    <s v="area_code_415"/>
    <x v="0"/>
    <x v="0"/>
    <n v="24"/>
    <n v="195.7"/>
    <n v="108"/>
    <n v="33.270000000000003"/>
    <n v="208.8"/>
    <n v="110"/>
    <n v="17.75"/>
    <n v="177"/>
    <n v="84"/>
    <n v="7.97"/>
    <x v="50"/>
    <x v="5"/>
    <x v="50"/>
    <x v="2"/>
    <x v="0"/>
  </r>
  <r>
    <s v="CT"/>
    <x v="73"/>
    <s v="area_code_408"/>
    <x v="0"/>
    <x v="1"/>
    <n v="0"/>
    <n v="250.6"/>
    <n v="100"/>
    <n v="42.6"/>
    <n v="41.7"/>
    <n v="94"/>
    <n v="3.54"/>
    <n v="186.2"/>
    <n v="100"/>
    <n v="8.3800000000000008"/>
    <x v="84"/>
    <x v="3"/>
    <x v="84"/>
    <x v="2"/>
    <x v="0"/>
  </r>
  <r>
    <s v="NY"/>
    <x v="90"/>
    <s v="area_code_510"/>
    <x v="0"/>
    <x v="1"/>
    <n v="0"/>
    <n v="141.9"/>
    <n v="112"/>
    <n v="24.12"/>
    <n v="166.2"/>
    <n v="94"/>
    <n v="14.13"/>
    <n v="223.5"/>
    <n v="77"/>
    <n v="10.06"/>
    <x v="29"/>
    <x v="3"/>
    <x v="29"/>
    <x v="0"/>
    <x v="0"/>
  </r>
  <r>
    <s v="OH"/>
    <x v="135"/>
    <s v="area_code_510"/>
    <x v="0"/>
    <x v="1"/>
    <n v="0"/>
    <n v="168.5"/>
    <n v="80"/>
    <n v="28.65"/>
    <n v="203.9"/>
    <n v="119"/>
    <n v="17.329999999999998"/>
    <n v="199.1"/>
    <n v="126"/>
    <n v="8.9600000000000009"/>
    <x v="111"/>
    <x v="5"/>
    <x v="111"/>
    <x v="0"/>
    <x v="0"/>
  </r>
  <r>
    <s v="IL"/>
    <x v="124"/>
    <s v="area_code_415"/>
    <x v="0"/>
    <x v="0"/>
    <n v="19"/>
    <n v="127.6"/>
    <n v="88"/>
    <n v="21.69"/>
    <n v="235.2"/>
    <n v="82"/>
    <n v="19.989999999999998"/>
    <n v="195"/>
    <n v="87"/>
    <n v="8.7799999999999994"/>
    <x v="3"/>
    <x v="0"/>
    <x v="3"/>
    <x v="1"/>
    <x v="0"/>
  </r>
  <r>
    <s v="IL"/>
    <x v="115"/>
    <s v="area_code_408"/>
    <x v="0"/>
    <x v="1"/>
    <n v="0"/>
    <n v="197.2"/>
    <n v="111"/>
    <n v="33.520000000000003"/>
    <n v="168.1"/>
    <n v="78"/>
    <n v="14.29"/>
    <n v="209.8"/>
    <n v="84"/>
    <n v="9.44"/>
    <x v="134"/>
    <x v="5"/>
    <x v="134"/>
    <x v="0"/>
    <x v="0"/>
  </r>
  <r>
    <s v="WA"/>
    <x v="21"/>
    <s v="area_code_415"/>
    <x v="0"/>
    <x v="0"/>
    <n v="28"/>
    <n v="217.4"/>
    <n v="98"/>
    <n v="36.96"/>
    <n v="246.2"/>
    <n v="120"/>
    <n v="20.93"/>
    <n v="127"/>
    <n v="92"/>
    <n v="5.72"/>
    <x v="4"/>
    <x v="10"/>
    <x v="4"/>
    <x v="0"/>
    <x v="0"/>
  </r>
  <r>
    <s v="NJ"/>
    <x v="37"/>
    <s v="area_code_415"/>
    <x v="1"/>
    <x v="1"/>
    <n v="0"/>
    <n v="97.2"/>
    <n v="91"/>
    <n v="16.52"/>
    <n v="243.7"/>
    <n v="93"/>
    <n v="20.71"/>
    <n v="235"/>
    <n v="116"/>
    <n v="10.58"/>
    <x v="3"/>
    <x v="5"/>
    <x v="3"/>
    <x v="0"/>
    <x v="1"/>
  </r>
  <r>
    <s v="WI"/>
    <x v="18"/>
    <s v="area_code_415"/>
    <x v="0"/>
    <x v="0"/>
    <n v="23"/>
    <n v="87.7"/>
    <n v="91"/>
    <n v="14.91"/>
    <n v="218.3"/>
    <n v="118"/>
    <n v="18.559999999999999"/>
    <n v="173.1"/>
    <n v="87"/>
    <n v="7.79"/>
    <x v="10"/>
    <x v="4"/>
    <x v="10"/>
    <x v="0"/>
    <x v="0"/>
  </r>
  <r>
    <s v="WV"/>
    <x v="115"/>
    <s v="area_code_415"/>
    <x v="0"/>
    <x v="0"/>
    <n v="32"/>
    <n v="186.4"/>
    <n v="75"/>
    <n v="31.69"/>
    <n v="206.9"/>
    <n v="92"/>
    <n v="17.59"/>
    <n v="150.6"/>
    <n v="80"/>
    <n v="6.78"/>
    <x v="47"/>
    <x v="5"/>
    <x v="47"/>
    <x v="0"/>
    <x v="0"/>
  </r>
  <r>
    <s v="AL"/>
    <x v="9"/>
    <s v="area_code_415"/>
    <x v="0"/>
    <x v="1"/>
    <n v="0"/>
    <n v="180"/>
    <n v="110"/>
    <n v="30.6"/>
    <n v="212.9"/>
    <n v="100"/>
    <n v="18.100000000000001"/>
    <n v="182.3"/>
    <n v="95"/>
    <n v="8.1999999999999993"/>
    <x v="23"/>
    <x v="11"/>
    <x v="23"/>
    <x v="1"/>
    <x v="0"/>
  </r>
  <r>
    <s v="WY"/>
    <x v="98"/>
    <s v="area_code_408"/>
    <x v="0"/>
    <x v="1"/>
    <n v="0"/>
    <n v="232.4"/>
    <n v="92"/>
    <n v="39.51"/>
    <n v="191"/>
    <n v="68"/>
    <n v="16.239999999999998"/>
    <n v="213"/>
    <n v="138"/>
    <n v="9.58"/>
    <x v="18"/>
    <x v="4"/>
    <x v="18"/>
    <x v="0"/>
    <x v="0"/>
  </r>
  <r>
    <s v="ME"/>
    <x v="146"/>
    <s v="area_code_415"/>
    <x v="0"/>
    <x v="1"/>
    <n v="0"/>
    <n v="151.6"/>
    <n v="119"/>
    <n v="25.77"/>
    <n v="198.1"/>
    <n v="93"/>
    <n v="16.84"/>
    <n v="173.4"/>
    <n v="91"/>
    <n v="7.8"/>
    <x v="43"/>
    <x v="0"/>
    <x v="43"/>
    <x v="3"/>
    <x v="0"/>
  </r>
  <r>
    <s v="LA"/>
    <x v="139"/>
    <s v="area_code_510"/>
    <x v="0"/>
    <x v="1"/>
    <n v="0"/>
    <n v="172.2"/>
    <n v="81"/>
    <n v="29.27"/>
    <n v="214.9"/>
    <n v="123"/>
    <n v="18.27"/>
    <n v="184.3"/>
    <n v="90"/>
    <n v="8.2899999999999991"/>
    <x v="22"/>
    <x v="3"/>
    <x v="22"/>
    <x v="3"/>
    <x v="0"/>
  </r>
  <r>
    <s v="WI"/>
    <x v="23"/>
    <s v="area_code_408"/>
    <x v="0"/>
    <x v="1"/>
    <n v="0"/>
    <n v="260.89999999999998"/>
    <n v="88"/>
    <n v="44.35"/>
    <n v="174.2"/>
    <n v="103"/>
    <n v="14.81"/>
    <n v="262.8"/>
    <n v="98"/>
    <n v="11.83"/>
    <x v="15"/>
    <x v="4"/>
    <x v="15"/>
    <x v="0"/>
    <x v="0"/>
  </r>
  <r>
    <s v="NH"/>
    <x v="126"/>
    <s v="area_code_415"/>
    <x v="0"/>
    <x v="1"/>
    <n v="0"/>
    <n v="124.4"/>
    <n v="109"/>
    <n v="21.15"/>
    <n v="196.1"/>
    <n v="119"/>
    <n v="16.670000000000002"/>
    <n v="166.1"/>
    <n v="89"/>
    <n v="7.47"/>
    <x v="39"/>
    <x v="4"/>
    <x v="39"/>
    <x v="2"/>
    <x v="0"/>
  </r>
  <r>
    <s v="HI"/>
    <x v="17"/>
    <s v="area_code_510"/>
    <x v="0"/>
    <x v="1"/>
    <n v="0"/>
    <n v="126.8"/>
    <n v="101"/>
    <n v="21.56"/>
    <n v="144.1"/>
    <n v="105"/>
    <n v="12.25"/>
    <n v="249.6"/>
    <n v="117"/>
    <n v="11.23"/>
    <x v="37"/>
    <x v="10"/>
    <x v="37"/>
    <x v="2"/>
    <x v="0"/>
  </r>
  <r>
    <s v="WV"/>
    <x v="17"/>
    <s v="area_code_510"/>
    <x v="0"/>
    <x v="1"/>
    <n v="0"/>
    <n v="110"/>
    <n v="107"/>
    <n v="18.7"/>
    <n v="181.9"/>
    <n v="85"/>
    <n v="15.46"/>
    <n v="208"/>
    <n v="94"/>
    <n v="9.36"/>
    <x v="50"/>
    <x v="0"/>
    <x v="50"/>
    <x v="0"/>
    <x v="0"/>
  </r>
  <r>
    <s v="UT"/>
    <x v="206"/>
    <s v="area_code_408"/>
    <x v="0"/>
    <x v="1"/>
    <n v="0"/>
    <n v="231.1"/>
    <n v="92"/>
    <n v="39.29"/>
    <n v="182.4"/>
    <n v="93"/>
    <n v="15.5"/>
    <n v="227.2"/>
    <n v="89"/>
    <n v="10.220000000000001"/>
    <x v="52"/>
    <x v="1"/>
    <x v="52"/>
    <x v="4"/>
    <x v="0"/>
  </r>
  <r>
    <s v="HI"/>
    <x v="42"/>
    <s v="area_code_415"/>
    <x v="0"/>
    <x v="1"/>
    <n v="0"/>
    <n v="187.4"/>
    <n v="74"/>
    <n v="31.86"/>
    <n v="144.6"/>
    <n v="142"/>
    <n v="12.29"/>
    <n v="235.7"/>
    <n v="102"/>
    <n v="10.61"/>
    <x v="39"/>
    <x v="8"/>
    <x v="39"/>
    <x v="0"/>
    <x v="0"/>
  </r>
  <r>
    <s v="VT"/>
    <x v="20"/>
    <s v="area_code_415"/>
    <x v="0"/>
    <x v="1"/>
    <n v="0"/>
    <n v="166.4"/>
    <n v="114"/>
    <n v="28.29"/>
    <n v="76.8"/>
    <n v="119"/>
    <n v="6.53"/>
    <n v="260.10000000000002"/>
    <n v="77"/>
    <n v="11.7"/>
    <x v="54"/>
    <x v="0"/>
    <x v="54"/>
    <x v="3"/>
    <x v="0"/>
  </r>
  <r>
    <s v="MD"/>
    <x v="102"/>
    <s v="area_code_408"/>
    <x v="0"/>
    <x v="1"/>
    <n v="0"/>
    <n v="141.80000000000001"/>
    <n v="85"/>
    <n v="24.11"/>
    <n v="191.3"/>
    <n v="101"/>
    <n v="16.260000000000002"/>
    <n v="133.6"/>
    <n v="126"/>
    <n v="6.01"/>
    <x v="54"/>
    <x v="0"/>
    <x v="54"/>
    <x v="0"/>
    <x v="0"/>
  </r>
  <r>
    <s v="TN"/>
    <x v="203"/>
    <s v="area_code_408"/>
    <x v="1"/>
    <x v="0"/>
    <n v="35"/>
    <n v="159.5"/>
    <n v="95"/>
    <n v="27.12"/>
    <n v="140.69999999999999"/>
    <n v="100"/>
    <n v="11.96"/>
    <n v="176.3"/>
    <n v="99"/>
    <n v="7.93"/>
    <x v="11"/>
    <x v="4"/>
    <x v="11"/>
    <x v="5"/>
    <x v="1"/>
  </r>
  <r>
    <s v="GA"/>
    <x v="108"/>
    <s v="area_code_415"/>
    <x v="0"/>
    <x v="1"/>
    <n v="0"/>
    <n v="218.9"/>
    <n v="124"/>
    <n v="37.21"/>
    <n v="237.5"/>
    <n v="99"/>
    <n v="20.190000000000001"/>
    <n v="189.7"/>
    <n v="52"/>
    <n v="8.5399999999999991"/>
    <x v="34"/>
    <x v="3"/>
    <x v="34"/>
    <x v="2"/>
    <x v="0"/>
  </r>
  <r>
    <s v="MA"/>
    <x v="19"/>
    <s v="area_code_415"/>
    <x v="0"/>
    <x v="1"/>
    <n v="0"/>
    <n v="138.69999999999999"/>
    <n v="101"/>
    <n v="23.58"/>
    <n v="257.5"/>
    <n v="85"/>
    <n v="21.89"/>
    <n v="165.6"/>
    <n v="92"/>
    <n v="7.45"/>
    <x v="35"/>
    <x v="8"/>
    <x v="35"/>
    <x v="2"/>
    <x v="0"/>
  </r>
  <r>
    <s v="ND"/>
    <x v="6"/>
    <s v="area_code_415"/>
    <x v="1"/>
    <x v="1"/>
    <n v="0"/>
    <n v="158.1"/>
    <n v="101"/>
    <n v="26.88"/>
    <n v="315.10000000000002"/>
    <n v="96"/>
    <n v="26.78"/>
    <n v="176.1"/>
    <n v="108"/>
    <n v="7.92"/>
    <x v="55"/>
    <x v="5"/>
    <x v="55"/>
    <x v="3"/>
    <x v="1"/>
  </r>
  <r>
    <s v="NJ"/>
    <x v="8"/>
    <s v="area_code_415"/>
    <x v="0"/>
    <x v="1"/>
    <n v="0"/>
    <n v="97.9"/>
    <n v="138"/>
    <n v="16.64"/>
    <n v="173"/>
    <n v="102"/>
    <n v="14.71"/>
    <n v="262.2"/>
    <n v="92"/>
    <n v="11.8"/>
    <x v="29"/>
    <x v="4"/>
    <x v="29"/>
    <x v="0"/>
    <x v="0"/>
  </r>
  <r>
    <s v="NH"/>
    <x v="100"/>
    <s v="area_code_510"/>
    <x v="0"/>
    <x v="1"/>
    <n v="0"/>
    <n v="103.5"/>
    <n v="105"/>
    <n v="17.600000000000001"/>
    <n v="174.1"/>
    <n v="103"/>
    <n v="14.8"/>
    <n v="248.2"/>
    <n v="95"/>
    <n v="11.17"/>
    <x v="50"/>
    <x v="5"/>
    <x v="50"/>
    <x v="5"/>
    <x v="1"/>
  </r>
  <r>
    <s v="NJ"/>
    <x v="113"/>
    <s v="area_code_408"/>
    <x v="0"/>
    <x v="1"/>
    <n v="0"/>
    <n v="206.3"/>
    <n v="113"/>
    <n v="35.07"/>
    <n v="223.5"/>
    <n v="97"/>
    <n v="19"/>
    <n v="234.3"/>
    <n v="119"/>
    <n v="10.54"/>
    <x v="111"/>
    <x v="3"/>
    <x v="111"/>
    <x v="2"/>
    <x v="0"/>
  </r>
  <r>
    <s v="FL"/>
    <x v="76"/>
    <s v="area_code_415"/>
    <x v="0"/>
    <x v="0"/>
    <n v="24"/>
    <n v="211.5"/>
    <n v="121"/>
    <n v="35.96"/>
    <n v="183.9"/>
    <n v="115"/>
    <n v="15.63"/>
    <n v="186.2"/>
    <n v="103"/>
    <n v="8.3800000000000008"/>
    <x v="88"/>
    <x v="8"/>
    <x v="88"/>
    <x v="3"/>
    <x v="0"/>
  </r>
  <r>
    <s v="WY"/>
    <x v="93"/>
    <s v="area_code_510"/>
    <x v="0"/>
    <x v="1"/>
    <n v="0"/>
    <n v="125"/>
    <n v="96"/>
    <n v="21.25"/>
    <n v="294.5"/>
    <n v="114"/>
    <n v="25.03"/>
    <n v="205.7"/>
    <n v="75"/>
    <n v="9.26"/>
    <x v="39"/>
    <x v="4"/>
    <x v="39"/>
    <x v="0"/>
    <x v="1"/>
  </r>
  <r>
    <s v="TX"/>
    <x v="106"/>
    <s v="area_code_408"/>
    <x v="0"/>
    <x v="0"/>
    <n v="41"/>
    <n v="141.30000000000001"/>
    <n v="127"/>
    <n v="24.02"/>
    <n v="152"/>
    <n v="96"/>
    <n v="12.92"/>
    <n v="218.8"/>
    <n v="114"/>
    <n v="9.85"/>
    <x v="111"/>
    <x v="0"/>
    <x v="111"/>
    <x v="3"/>
    <x v="0"/>
  </r>
  <r>
    <s v="MA"/>
    <x v="43"/>
    <s v="area_code_415"/>
    <x v="0"/>
    <x v="1"/>
    <n v="0"/>
    <n v="119"/>
    <n v="94"/>
    <n v="20.23"/>
    <n v="144.30000000000001"/>
    <n v="110"/>
    <n v="12.27"/>
    <n v="199.7"/>
    <n v="65"/>
    <n v="8.99"/>
    <x v="82"/>
    <x v="1"/>
    <x v="82"/>
    <x v="2"/>
    <x v="0"/>
  </r>
  <r>
    <s v="ID"/>
    <x v="0"/>
    <s v="area_code_415"/>
    <x v="0"/>
    <x v="1"/>
    <n v="0"/>
    <n v="260.60000000000002"/>
    <n v="81"/>
    <n v="44.3"/>
    <n v="246.1"/>
    <n v="116"/>
    <n v="20.92"/>
    <n v="243.3"/>
    <n v="117"/>
    <n v="10.95"/>
    <x v="75"/>
    <x v="6"/>
    <x v="75"/>
    <x v="1"/>
    <x v="1"/>
  </r>
  <r>
    <s v="TX"/>
    <x v="77"/>
    <s v="area_code_415"/>
    <x v="0"/>
    <x v="1"/>
    <n v="0"/>
    <n v="149.19999999999999"/>
    <n v="128"/>
    <n v="25.36"/>
    <n v="112.8"/>
    <n v="101"/>
    <n v="9.59"/>
    <n v="156.30000000000001"/>
    <n v="111"/>
    <n v="7.03"/>
    <x v="1"/>
    <x v="4"/>
    <x v="1"/>
    <x v="0"/>
    <x v="0"/>
  </r>
  <r>
    <s v="DE"/>
    <x v="186"/>
    <s v="area_code_415"/>
    <x v="0"/>
    <x v="1"/>
    <n v="0"/>
    <n v="163.69999999999999"/>
    <n v="109"/>
    <n v="27.83"/>
    <n v="207.3"/>
    <n v="88"/>
    <n v="17.62"/>
    <n v="266.2"/>
    <n v="101"/>
    <n v="11.98"/>
    <x v="91"/>
    <x v="5"/>
    <x v="91"/>
    <x v="0"/>
    <x v="0"/>
  </r>
  <r>
    <s v="NY"/>
    <x v="14"/>
    <s v="area_code_415"/>
    <x v="0"/>
    <x v="1"/>
    <n v="0"/>
    <n v="223"/>
    <n v="109"/>
    <n v="37.909999999999997"/>
    <n v="218.7"/>
    <n v="97"/>
    <n v="18.59"/>
    <n v="138.6"/>
    <n v="126"/>
    <n v="6.24"/>
    <x v="43"/>
    <x v="10"/>
    <x v="43"/>
    <x v="2"/>
    <x v="0"/>
  </r>
  <r>
    <s v="ME"/>
    <x v="85"/>
    <s v="area_code_408"/>
    <x v="0"/>
    <x v="1"/>
    <n v="0"/>
    <n v="200.2"/>
    <n v="115"/>
    <n v="34.03"/>
    <n v="268.8"/>
    <n v="109"/>
    <n v="22.85"/>
    <n v="185.4"/>
    <n v="102"/>
    <n v="8.34"/>
    <x v="75"/>
    <x v="5"/>
    <x v="75"/>
    <x v="3"/>
    <x v="0"/>
  </r>
  <r>
    <s v="NM"/>
    <x v="90"/>
    <s v="area_code_415"/>
    <x v="0"/>
    <x v="1"/>
    <n v="0"/>
    <n v="248.6"/>
    <n v="59"/>
    <n v="42.26"/>
    <n v="199.1"/>
    <n v="126"/>
    <n v="16.920000000000002"/>
    <n v="112.5"/>
    <n v="117"/>
    <n v="5.0599999999999996"/>
    <x v="94"/>
    <x v="0"/>
    <x v="94"/>
    <x v="2"/>
    <x v="0"/>
  </r>
  <r>
    <s v="IL"/>
    <x v="69"/>
    <s v="area_code_415"/>
    <x v="0"/>
    <x v="0"/>
    <n v="26"/>
    <n v="214.2"/>
    <n v="80"/>
    <n v="36.409999999999997"/>
    <n v="253"/>
    <n v="152"/>
    <n v="21.51"/>
    <n v="156.4"/>
    <n v="109"/>
    <n v="7.04"/>
    <x v="19"/>
    <x v="5"/>
    <x v="19"/>
    <x v="2"/>
    <x v="0"/>
  </r>
  <r>
    <s v="LA"/>
    <x v="155"/>
    <s v="area_code_415"/>
    <x v="0"/>
    <x v="1"/>
    <n v="0"/>
    <n v="245.6"/>
    <n v="128"/>
    <n v="41.75"/>
    <n v="173"/>
    <n v="101"/>
    <n v="14.71"/>
    <n v="111.8"/>
    <n v="118"/>
    <n v="5.03"/>
    <x v="66"/>
    <x v="2"/>
    <x v="66"/>
    <x v="2"/>
    <x v="0"/>
  </r>
  <r>
    <s v="TN"/>
    <x v="35"/>
    <s v="area_code_408"/>
    <x v="0"/>
    <x v="1"/>
    <n v="0"/>
    <n v="238.6"/>
    <n v="85"/>
    <n v="40.56"/>
    <n v="203.3"/>
    <n v="75"/>
    <n v="17.28"/>
    <n v="180.5"/>
    <n v="127"/>
    <n v="8.1199999999999992"/>
    <x v="76"/>
    <x v="10"/>
    <x v="76"/>
    <x v="1"/>
    <x v="0"/>
  </r>
  <r>
    <s v="MI"/>
    <x v="65"/>
    <s v="area_code_510"/>
    <x v="1"/>
    <x v="1"/>
    <n v="0"/>
    <n v="86.1"/>
    <n v="97"/>
    <n v="14.64"/>
    <n v="227.9"/>
    <n v="101"/>
    <n v="19.37"/>
    <n v="225.8"/>
    <n v="102"/>
    <n v="10.16"/>
    <x v="9"/>
    <x v="0"/>
    <x v="9"/>
    <x v="3"/>
    <x v="0"/>
  </r>
  <r>
    <s v="MS"/>
    <x v="134"/>
    <s v="area_code_415"/>
    <x v="0"/>
    <x v="1"/>
    <n v="0"/>
    <n v="161.6"/>
    <n v="94"/>
    <n v="27.47"/>
    <n v="187.5"/>
    <n v="110"/>
    <n v="15.94"/>
    <n v="220.8"/>
    <n v="71"/>
    <n v="9.94"/>
    <x v="19"/>
    <x v="2"/>
    <x v="19"/>
    <x v="2"/>
    <x v="0"/>
  </r>
  <r>
    <s v="DE"/>
    <x v="36"/>
    <s v="area_code_415"/>
    <x v="0"/>
    <x v="1"/>
    <n v="0"/>
    <n v="257.89999999999998"/>
    <n v="80"/>
    <n v="43.84"/>
    <n v="220.7"/>
    <n v="82"/>
    <n v="18.760000000000002"/>
    <n v="225.4"/>
    <n v="70"/>
    <n v="10.14"/>
    <x v="161"/>
    <x v="0"/>
    <x v="161"/>
    <x v="2"/>
    <x v="1"/>
  </r>
  <r>
    <s v="KS"/>
    <x v="113"/>
    <s v="area_code_415"/>
    <x v="0"/>
    <x v="1"/>
    <n v="0"/>
    <n v="209.2"/>
    <n v="127"/>
    <n v="35.56"/>
    <n v="165.3"/>
    <n v="93"/>
    <n v="14.05"/>
    <n v="196.8"/>
    <n v="98"/>
    <n v="8.86"/>
    <x v="15"/>
    <x v="10"/>
    <x v="15"/>
    <x v="3"/>
    <x v="0"/>
  </r>
  <r>
    <s v="RI"/>
    <x v="53"/>
    <s v="area_code_510"/>
    <x v="0"/>
    <x v="0"/>
    <n v="19"/>
    <n v="214"/>
    <n v="57"/>
    <n v="36.380000000000003"/>
    <n v="245.3"/>
    <n v="105"/>
    <n v="20.85"/>
    <n v="205.6"/>
    <n v="68"/>
    <n v="9.25"/>
    <x v="19"/>
    <x v="5"/>
    <x v="19"/>
    <x v="0"/>
    <x v="0"/>
  </r>
  <r>
    <s v="WI"/>
    <x v="66"/>
    <s v="area_code_415"/>
    <x v="0"/>
    <x v="0"/>
    <n v="21"/>
    <n v="196"/>
    <n v="104"/>
    <n v="33.32"/>
    <n v="194.7"/>
    <n v="73"/>
    <n v="16.55"/>
    <n v="150.80000000000001"/>
    <n v="92"/>
    <n v="6.79"/>
    <x v="63"/>
    <x v="4"/>
    <x v="63"/>
    <x v="1"/>
    <x v="0"/>
  </r>
  <r>
    <s v="MT"/>
    <x v="15"/>
    <s v="area_code_415"/>
    <x v="0"/>
    <x v="0"/>
    <n v="33"/>
    <n v="129.80000000000001"/>
    <n v="112"/>
    <n v="22.07"/>
    <n v="225.3"/>
    <n v="96"/>
    <n v="19.149999999999999"/>
    <n v="262.5"/>
    <n v="104"/>
    <n v="11.81"/>
    <x v="53"/>
    <x v="0"/>
    <x v="53"/>
    <x v="0"/>
    <x v="0"/>
  </r>
  <r>
    <s v="WV"/>
    <x v="108"/>
    <s v="area_code_408"/>
    <x v="0"/>
    <x v="1"/>
    <n v="0"/>
    <n v="239.1"/>
    <n v="96"/>
    <n v="40.65"/>
    <n v="180.1"/>
    <n v="110"/>
    <n v="15.31"/>
    <n v="259.2"/>
    <n v="112"/>
    <n v="11.66"/>
    <x v="100"/>
    <x v="5"/>
    <x v="100"/>
    <x v="1"/>
    <x v="0"/>
  </r>
  <r>
    <s v="IL"/>
    <x v="146"/>
    <s v="area_code_510"/>
    <x v="0"/>
    <x v="1"/>
    <n v="0"/>
    <n v="133.19999999999999"/>
    <n v="80"/>
    <n v="22.64"/>
    <n v="144.19999999999999"/>
    <n v="98"/>
    <n v="12.26"/>
    <n v="261"/>
    <n v="102"/>
    <n v="11.75"/>
    <x v="42"/>
    <x v="0"/>
    <x v="42"/>
    <x v="3"/>
    <x v="1"/>
  </r>
  <r>
    <s v="OR"/>
    <x v="126"/>
    <s v="area_code_408"/>
    <x v="0"/>
    <x v="1"/>
    <n v="0"/>
    <n v="135.69999999999999"/>
    <n v="34"/>
    <n v="23.07"/>
    <n v="243"/>
    <n v="99"/>
    <n v="20.66"/>
    <n v="209.3"/>
    <n v="115"/>
    <n v="9.42"/>
    <x v="1"/>
    <x v="10"/>
    <x v="1"/>
    <x v="0"/>
    <x v="0"/>
  </r>
  <r>
    <s v="MN"/>
    <x v="64"/>
    <s v="area_code_415"/>
    <x v="0"/>
    <x v="0"/>
    <n v="31"/>
    <n v="211"/>
    <n v="117"/>
    <n v="35.869999999999997"/>
    <n v="238.7"/>
    <n v="77"/>
    <n v="20.29"/>
    <n v="184.5"/>
    <n v="99"/>
    <n v="8.3000000000000007"/>
    <x v="100"/>
    <x v="10"/>
    <x v="100"/>
    <x v="0"/>
    <x v="0"/>
  </r>
  <r>
    <s v="TX"/>
    <x v="11"/>
    <s v="area_code_510"/>
    <x v="0"/>
    <x v="1"/>
    <n v="0"/>
    <n v="135.19999999999999"/>
    <n v="93"/>
    <n v="22.98"/>
    <n v="285.89999999999998"/>
    <n v="123"/>
    <n v="24.3"/>
    <n v="228.1"/>
    <n v="112"/>
    <n v="10.26"/>
    <x v="13"/>
    <x v="5"/>
    <x v="13"/>
    <x v="3"/>
    <x v="0"/>
  </r>
  <r>
    <s v="LA"/>
    <x v="72"/>
    <s v="area_code_408"/>
    <x v="0"/>
    <x v="1"/>
    <n v="0"/>
    <n v="140.80000000000001"/>
    <n v="126"/>
    <n v="23.94"/>
    <n v="212.5"/>
    <n v="115"/>
    <n v="18.059999999999999"/>
    <n v="141.69999999999999"/>
    <n v="79"/>
    <n v="6.38"/>
    <x v="69"/>
    <x v="1"/>
    <x v="69"/>
    <x v="4"/>
    <x v="1"/>
  </r>
  <r>
    <s v="AL"/>
    <x v="171"/>
    <s v="area_code_510"/>
    <x v="0"/>
    <x v="1"/>
    <n v="0"/>
    <n v="160.19999999999999"/>
    <n v="103"/>
    <n v="27.23"/>
    <n v="159.80000000000001"/>
    <n v="116"/>
    <n v="13.58"/>
    <n v="255.7"/>
    <n v="87"/>
    <n v="11.51"/>
    <x v="89"/>
    <x v="0"/>
    <x v="89"/>
    <x v="0"/>
    <x v="0"/>
  </r>
  <r>
    <s v="MD"/>
    <x v="130"/>
    <s v="area_code_415"/>
    <x v="0"/>
    <x v="1"/>
    <n v="0"/>
    <n v="153.69999999999999"/>
    <n v="86"/>
    <n v="26.13"/>
    <n v="160.30000000000001"/>
    <n v="78"/>
    <n v="13.63"/>
    <n v="176.6"/>
    <n v="140"/>
    <n v="7.95"/>
    <x v="63"/>
    <x v="10"/>
    <x v="63"/>
    <x v="0"/>
    <x v="0"/>
  </r>
  <r>
    <s v="ND"/>
    <x v="205"/>
    <s v="area_code_415"/>
    <x v="0"/>
    <x v="1"/>
    <n v="0"/>
    <n v="237.6"/>
    <n v="86"/>
    <n v="40.39"/>
    <n v="157"/>
    <n v="105"/>
    <n v="13.35"/>
    <n v="163.6"/>
    <n v="103"/>
    <n v="7.36"/>
    <x v="66"/>
    <x v="5"/>
    <x v="66"/>
    <x v="2"/>
    <x v="0"/>
  </r>
  <r>
    <s v="DC"/>
    <x v="186"/>
    <s v="area_code_510"/>
    <x v="0"/>
    <x v="1"/>
    <n v="0"/>
    <n v="182.1"/>
    <n v="92"/>
    <n v="30.96"/>
    <n v="180.4"/>
    <n v="91"/>
    <n v="15.33"/>
    <n v="206.4"/>
    <n v="128"/>
    <n v="9.2899999999999991"/>
    <x v="68"/>
    <x v="5"/>
    <x v="68"/>
    <x v="2"/>
    <x v="0"/>
  </r>
  <r>
    <s v="MD"/>
    <x v="175"/>
    <s v="area_code_408"/>
    <x v="0"/>
    <x v="1"/>
    <n v="0"/>
    <n v="198.7"/>
    <n v="108"/>
    <n v="33.78"/>
    <n v="146.69999999999999"/>
    <n v="86"/>
    <n v="12.47"/>
    <n v="216.8"/>
    <n v="95"/>
    <n v="9.76"/>
    <x v="17"/>
    <x v="0"/>
    <x v="17"/>
    <x v="2"/>
    <x v="0"/>
  </r>
  <r>
    <s v="MA"/>
    <x v="142"/>
    <s v="area_code_408"/>
    <x v="0"/>
    <x v="0"/>
    <n v="47"/>
    <n v="151.1"/>
    <n v="117"/>
    <n v="25.69"/>
    <n v="137.4"/>
    <n v="103"/>
    <n v="11.68"/>
    <n v="172.6"/>
    <n v="99"/>
    <n v="7.77"/>
    <x v="29"/>
    <x v="10"/>
    <x v="29"/>
    <x v="0"/>
    <x v="0"/>
  </r>
  <r>
    <s v="DC"/>
    <x v="148"/>
    <s v="area_code_510"/>
    <x v="0"/>
    <x v="1"/>
    <n v="0"/>
    <n v="195.2"/>
    <n v="84"/>
    <n v="33.18"/>
    <n v="229.5"/>
    <n v="116"/>
    <n v="19.510000000000002"/>
    <n v="185.3"/>
    <n v="147"/>
    <n v="8.34"/>
    <x v="78"/>
    <x v="0"/>
    <x v="78"/>
    <x v="1"/>
    <x v="0"/>
  </r>
  <r>
    <s v="NJ"/>
    <x v="16"/>
    <s v="area_code_408"/>
    <x v="1"/>
    <x v="0"/>
    <n v="34"/>
    <n v="209.9"/>
    <n v="79"/>
    <n v="35.68"/>
    <n v="226.1"/>
    <n v="88"/>
    <n v="19.22"/>
    <n v="101.8"/>
    <n v="103"/>
    <n v="4.58"/>
    <x v="37"/>
    <x v="5"/>
    <x v="37"/>
    <x v="2"/>
    <x v="1"/>
  </r>
  <r>
    <s v="RI"/>
    <x v="19"/>
    <s v="area_code_415"/>
    <x v="1"/>
    <x v="0"/>
    <n v="18"/>
    <n v="130.69999999999999"/>
    <n v="86"/>
    <n v="22.22"/>
    <n v="186.1"/>
    <n v="98"/>
    <n v="15.82"/>
    <n v="204.8"/>
    <n v="103"/>
    <n v="9.2200000000000006"/>
    <x v="78"/>
    <x v="3"/>
    <x v="78"/>
    <x v="1"/>
    <x v="0"/>
  </r>
  <r>
    <s v="AL"/>
    <x v="85"/>
    <s v="area_code_415"/>
    <x v="0"/>
    <x v="1"/>
    <n v="0"/>
    <n v="265.89999999999998"/>
    <n v="112"/>
    <n v="45.2"/>
    <n v="132.9"/>
    <n v="94"/>
    <n v="11.3"/>
    <n v="185.2"/>
    <n v="106"/>
    <n v="8.33"/>
    <x v="28"/>
    <x v="2"/>
    <x v="28"/>
    <x v="0"/>
    <x v="0"/>
  </r>
  <r>
    <s v="TX"/>
    <x v="88"/>
    <s v="area_code_408"/>
    <x v="0"/>
    <x v="1"/>
    <n v="0"/>
    <n v="249.7"/>
    <n v="91"/>
    <n v="42.45"/>
    <n v="185.1"/>
    <n v="90"/>
    <n v="15.73"/>
    <n v="234.2"/>
    <n v="88"/>
    <n v="10.54"/>
    <x v="26"/>
    <x v="8"/>
    <x v="26"/>
    <x v="0"/>
    <x v="0"/>
  </r>
  <r>
    <s v="MS"/>
    <x v="29"/>
    <s v="area_code_510"/>
    <x v="0"/>
    <x v="1"/>
    <n v="0"/>
    <n v="204.1"/>
    <n v="116"/>
    <n v="34.700000000000003"/>
    <n v="150.19999999999999"/>
    <n v="74"/>
    <n v="12.77"/>
    <n v="108.1"/>
    <n v="154"/>
    <n v="4.8600000000000003"/>
    <x v="111"/>
    <x v="8"/>
    <x v="111"/>
    <x v="2"/>
    <x v="0"/>
  </r>
  <r>
    <s v="WI"/>
    <x v="137"/>
    <s v="area_code_510"/>
    <x v="0"/>
    <x v="0"/>
    <n v="24"/>
    <n v="135.80000000000001"/>
    <n v="108"/>
    <n v="23.09"/>
    <n v="251.4"/>
    <n v="62"/>
    <n v="21.37"/>
    <n v="181.5"/>
    <n v="91"/>
    <n v="8.17"/>
    <x v="69"/>
    <x v="4"/>
    <x v="69"/>
    <x v="1"/>
    <x v="0"/>
  </r>
  <r>
    <s v="ME"/>
    <x v="26"/>
    <s v="area_code_415"/>
    <x v="0"/>
    <x v="1"/>
    <n v="0"/>
    <n v="211.4"/>
    <n v="105"/>
    <n v="35.94"/>
    <n v="249.9"/>
    <n v="77"/>
    <n v="21.24"/>
    <n v="199.6"/>
    <n v="129"/>
    <n v="8.98"/>
    <x v="38"/>
    <x v="5"/>
    <x v="38"/>
    <x v="2"/>
    <x v="0"/>
  </r>
  <r>
    <s v="MT"/>
    <x v="26"/>
    <s v="area_code_510"/>
    <x v="0"/>
    <x v="1"/>
    <n v="0"/>
    <n v="185.8"/>
    <n v="102"/>
    <n v="31.59"/>
    <n v="251.6"/>
    <n v="88"/>
    <n v="21.39"/>
    <n v="202.8"/>
    <n v="86"/>
    <n v="9.1300000000000008"/>
    <x v="64"/>
    <x v="3"/>
    <x v="64"/>
    <x v="2"/>
    <x v="0"/>
  </r>
  <r>
    <s v="ID"/>
    <x v="116"/>
    <s v="area_code_415"/>
    <x v="0"/>
    <x v="1"/>
    <n v="0"/>
    <n v="202.5"/>
    <n v="91"/>
    <n v="34.43"/>
    <n v="142.5"/>
    <n v="134"/>
    <n v="12.11"/>
    <n v="219.6"/>
    <n v="102"/>
    <n v="9.8800000000000008"/>
    <x v="3"/>
    <x v="4"/>
    <x v="3"/>
    <x v="3"/>
    <x v="0"/>
  </r>
  <r>
    <s v="ND"/>
    <x v="53"/>
    <s v="area_code_510"/>
    <x v="0"/>
    <x v="1"/>
    <n v="0"/>
    <n v="169.4"/>
    <n v="127"/>
    <n v="28.8"/>
    <n v="157.19999999999999"/>
    <n v="111"/>
    <n v="13.36"/>
    <n v="172.4"/>
    <n v="103"/>
    <n v="7.76"/>
    <x v="85"/>
    <x v="5"/>
    <x v="85"/>
    <x v="0"/>
    <x v="0"/>
  </r>
  <r>
    <s v="AZ"/>
    <x v="82"/>
    <s v="area_code_415"/>
    <x v="0"/>
    <x v="1"/>
    <n v="0"/>
    <n v="135.19999999999999"/>
    <n v="76"/>
    <n v="22.98"/>
    <n v="161"/>
    <n v="98"/>
    <n v="13.69"/>
    <n v="129.30000000000001"/>
    <n v="105"/>
    <n v="5.82"/>
    <x v="62"/>
    <x v="3"/>
    <x v="62"/>
    <x v="1"/>
    <x v="0"/>
  </r>
  <r>
    <s v="CA"/>
    <x v="40"/>
    <s v="area_code_408"/>
    <x v="0"/>
    <x v="1"/>
    <n v="0"/>
    <n v="125.1"/>
    <n v="103"/>
    <n v="21.27"/>
    <n v="209.6"/>
    <n v="103"/>
    <n v="17.82"/>
    <n v="186.2"/>
    <n v="78"/>
    <n v="8.3800000000000008"/>
    <x v="23"/>
    <x v="8"/>
    <x v="23"/>
    <x v="0"/>
    <x v="0"/>
  </r>
  <r>
    <s v="NJ"/>
    <x v="115"/>
    <s v="area_code_408"/>
    <x v="0"/>
    <x v="1"/>
    <n v="0"/>
    <n v="287.10000000000002"/>
    <n v="83"/>
    <n v="48.81"/>
    <n v="218.4"/>
    <n v="124"/>
    <n v="18.559999999999999"/>
    <n v="151.5"/>
    <n v="42"/>
    <n v="6.82"/>
    <x v="34"/>
    <x v="4"/>
    <x v="34"/>
    <x v="0"/>
    <x v="1"/>
  </r>
  <r>
    <s v="NV"/>
    <x v="169"/>
    <s v="area_code_415"/>
    <x v="0"/>
    <x v="1"/>
    <n v="0"/>
    <n v="199.7"/>
    <n v="107"/>
    <n v="33.950000000000003"/>
    <n v="205.8"/>
    <n v="86"/>
    <n v="17.489999999999998"/>
    <n v="198.8"/>
    <n v="125"/>
    <n v="8.9499999999999993"/>
    <x v="24"/>
    <x v="1"/>
    <x v="24"/>
    <x v="1"/>
    <x v="0"/>
  </r>
  <r>
    <s v="NV"/>
    <x v="119"/>
    <s v="area_code_408"/>
    <x v="0"/>
    <x v="1"/>
    <n v="0"/>
    <n v="247.6"/>
    <n v="114"/>
    <n v="42.09"/>
    <n v="172.3"/>
    <n v="110"/>
    <n v="14.65"/>
    <n v="264.39999999999998"/>
    <n v="107"/>
    <n v="11.9"/>
    <x v="5"/>
    <x v="0"/>
    <x v="5"/>
    <x v="0"/>
    <x v="0"/>
  </r>
  <r>
    <s v="AL"/>
    <x v="75"/>
    <s v="area_code_510"/>
    <x v="0"/>
    <x v="0"/>
    <n v="39"/>
    <n v="160.80000000000001"/>
    <n v="97"/>
    <n v="27.34"/>
    <n v="119.3"/>
    <n v="54"/>
    <n v="10.14"/>
    <n v="147.9"/>
    <n v="101"/>
    <n v="6.66"/>
    <x v="19"/>
    <x v="0"/>
    <x v="19"/>
    <x v="3"/>
    <x v="0"/>
  </r>
  <r>
    <s v="SC"/>
    <x v="53"/>
    <s v="area_code_408"/>
    <x v="0"/>
    <x v="0"/>
    <n v="31"/>
    <n v="118.5"/>
    <n v="92"/>
    <n v="20.149999999999999"/>
    <n v="257.89999999999998"/>
    <n v="76"/>
    <n v="21.92"/>
    <n v="186.2"/>
    <n v="96"/>
    <n v="8.3800000000000008"/>
    <x v="62"/>
    <x v="3"/>
    <x v="62"/>
    <x v="0"/>
    <x v="0"/>
  </r>
  <r>
    <s v="WV"/>
    <x v="135"/>
    <s v="area_code_415"/>
    <x v="0"/>
    <x v="1"/>
    <n v="0"/>
    <n v="181"/>
    <n v="107"/>
    <n v="30.77"/>
    <n v="188.4"/>
    <n v="114"/>
    <n v="16.010000000000002"/>
    <n v="175.8"/>
    <n v="41"/>
    <n v="7.91"/>
    <x v="79"/>
    <x v="4"/>
    <x v="79"/>
    <x v="6"/>
    <x v="0"/>
  </r>
  <r>
    <s v="OH"/>
    <x v="34"/>
    <s v="area_code_408"/>
    <x v="1"/>
    <x v="1"/>
    <n v="0"/>
    <n v="160.6"/>
    <n v="101"/>
    <n v="27.3"/>
    <n v="202"/>
    <n v="125"/>
    <n v="17.170000000000002"/>
    <n v="221.7"/>
    <n v="100"/>
    <n v="9.98"/>
    <x v="82"/>
    <x v="5"/>
    <x v="82"/>
    <x v="0"/>
    <x v="1"/>
  </r>
  <r>
    <s v="TX"/>
    <x v="130"/>
    <s v="area_code_510"/>
    <x v="0"/>
    <x v="1"/>
    <n v="0"/>
    <n v="111.9"/>
    <n v="105"/>
    <n v="19.02"/>
    <n v="197.7"/>
    <n v="121"/>
    <n v="16.8"/>
    <n v="302.8"/>
    <n v="108"/>
    <n v="13.63"/>
    <x v="3"/>
    <x v="1"/>
    <x v="3"/>
    <x v="0"/>
    <x v="0"/>
  </r>
  <r>
    <s v="ME"/>
    <x v="55"/>
    <s v="area_code_415"/>
    <x v="0"/>
    <x v="1"/>
    <n v="0"/>
    <n v="120.5"/>
    <n v="107"/>
    <n v="20.49"/>
    <n v="176.3"/>
    <n v="124"/>
    <n v="14.99"/>
    <n v="258"/>
    <n v="121"/>
    <n v="11.61"/>
    <x v="26"/>
    <x v="1"/>
    <x v="26"/>
    <x v="1"/>
    <x v="0"/>
  </r>
  <r>
    <s v="MT"/>
    <x v="105"/>
    <s v="area_code_408"/>
    <x v="0"/>
    <x v="1"/>
    <n v="0"/>
    <n v="242.4"/>
    <n v="89"/>
    <n v="41.21"/>
    <n v="161.4"/>
    <n v="89"/>
    <n v="13.72"/>
    <n v="142.4"/>
    <n v="95"/>
    <n v="6.41"/>
    <x v="11"/>
    <x v="5"/>
    <x v="11"/>
    <x v="0"/>
    <x v="0"/>
  </r>
  <r>
    <s v="NJ"/>
    <x v="98"/>
    <s v="area_code_408"/>
    <x v="0"/>
    <x v="1"/>
    <n v="0"/>
    <n v="178.4"/>
    <n v="81"/>
    <n v="30.33"/>
    <n v="182.7"/>
    <n v="119"/>
    <n v="15.53"/>
    <n v="251.4"/>
    <n v="109"/>
    <n v="11.31"/>
    <x v="81"/>
    <x v="5"/>
    <x v="81"/>
    <x v="0"/>
    <x v="0"/>
  </r>
  <r>
    <s v="UT"/>
    <x v="83"/>
    <s v="area_code_510"/>
    <x v="0"/>
    <x v="1"/>
    <n v="0"/>
    <n v="258.7"/>
    <n v="94"/>
    <n v="43.98"/>
    <n v="190.3"/>
    <n v="132"/>
    <n v="16.18"/>
    <n v="247.2"/>
    <n v="73"/>
    <n v="11.12"/>
    <x v="37"/>
    <x v="5"/>
    <x v="37"/>
    <x v="0"/>
    <x v="1"/>
  </r>
  <r>
    <s v="DC"/>
    <x v="137"/>
    <s v="area_code_415"/>
    <x v="0"/>
    <x v="0"/>
    <n v="18"/>
    <n v="124.3"/>
    <n v="104"/>
    <n v="21.13"/>
    <n v="196.1"/>
    <n v="80"/>
    <n v="16.670000000000002"/>
    <n v="290"/>
    <n v="110"/>
    <n v="13.05"/>
    <x v="68"/>
    <x v="0"/>
    <x v="68"/>
    <x v="0"/>
    <x v="0"/>
  </r>
  <r>
    <s v="UT"/>
    <x v="120"/>
    <s v="area_code_415"/>
    <x v="0"/>
    <x v="1"/>
    <n v="0"/>
    <n v="94.9"/>
    <n v="114"/>
    <n v="16.13"/>
    <n v="315.8"/>
    <n v="105"/>
    <n v="26.84"/>
    <n v="181"/>
    <n v="71"/>
    <n v="8.15"/>
    <x v="81"/>
    <x v="3"/>
    <x v="81"/>
    <x v="1"/>
    <x v="0"/>
  </r>
  <r>
    <s v="CO"/>
    <x v="51"/>
    <s v="area_code_408"/>
    <x v="0"/>
    <x v="1"/>
    <n v="0"/>
    <n v="182"/>
    <n v="101"/>
    <n v="30.94"/>
    <n v="200.3"/>
    <n v="119"/>
    <n v="17.03"/>
    <n v="208.9"/>
    <n v="131"/>
    <n v="9.4"/>
    <x v="83"/>
    <x v="0"/>
    <x v="83"/>
    <x v="4"/>
    <x v="0"/>
  </r>
  <r>
    <s v="MA"/>
    <x v="17"/>
    <s v="area_code_408"/>
    <x v="0"/>
    <x v="1"/>
    <n v="0"/>
    <n v="162"/>
    <n v="62"/>
    <n v="27.54"/>
    <n v="278.10000000000002"/>
    <n v="108"/>
    <n v="23.64"/>
    <n v="197.5"/>
    <n v="82"/>
    <n v="8.89"/>
    <x v="9"/>
    <x v="4"/>
    <x v="9"/>
    <x v="0"/>
    <x v="0"/>
  </r>
  <r>
    <s v="FL"/>
    <x v="137"/>
    <s v="area_code_415"/>
    <x v="0"/>
    <x v="1"/>
    <n v="0"/>
    <n v="176.6"/>
    <n v="83"/>
    <n v="30.02"/>
    <n v="221.6"/>
    <n v="101"/>
    <n v="18.84"/>
    <n v="185.3"/>
    <n v="89"/>
    <n v="8.34"/>
    <x v="27"/>
    <x v="8"/>
    <x v="27"/>
    <x v="1"/>
    <x v="0"/>
  </r>
  <r>
    <s v="ID"/>
    <x v="180"/>
    <s v="area_code_408"/>
    <x v="1"/>
    <x v="0"/>
    <n v="28"/>
    <n v="156.1"/>
    <n v="98"/>
    <n v="26.54"/>
    <n v="209.9"/>
    <n v="140"/>
    <n v="17.84"/>
    <n v="190"/>
    <n v="69"/>
    <n v="8.5500000000000007"/>
    <x v="37"/>
    <x v="4"/>
    <x v="37"/>
    <x v="1"/>
    <x v="0"/>
  </r>
  <r>
    <s v="CO"/>
    <x v="143"/>
    <s v="area_code_510"/>
    <x v="0"/>
    <x v="1"/>
    <n v="0"/>
    <n v="150.6"/>
    <n v="106"/>
    <n v="25.6"/>
    <n v="147.4"/>
    <n v="108"/>
    <n v="12.53"/>
    <n v="173.2"/>
    <n v="109"/>
    <n v="7.79"/>
    <x v="17"/>
    <x v="1"/>
    <x v="17"/>
    <x v="0"/>
    <x v="0"/>
  </r>
  <r>
    <s v="PA"/>
    <x v="33"/>
    <s v="area_code_510"/>
    <x v="0"/>
    <x v="1"/>
    <n v="0"/>
    <n v="189.1"/>
    <n v="141"/>
    <n v="32.15"/>
    <n v="198.2"/>
    <n v="113"/>
    <n v="16.850000000000001"/>
    <n v="280.2"/>
    <n v="103"/>
    <n v="12.61"/>
    <x v="138"/>
    <x v="2"/>
    <x v="138"/>
    <x v="0"/>
    <x v="0"/>
  </r>
  <r>
    <s v="KY"/>
    <x v="146"/>
    <s v="area_code_408"/>
    <x v="0"/>
    <x v="1"/>
    <n v="0"/>
    <n v="156.9"/>
    <n v="74"/>
    <n v="26.67"/>
    <n v="195.8"/>
    <n v="82"/>
    <n v="16.64"/>
    <n v="181"/>
    <n v="99"/>
    <n v="8.15"/>
    <x v="82"/>
    <x v="5"/>
    <x v="82"/>
    <x v="0"/>
    <x v="0"/>
  </r>
  <r>
    <s v="ID"/>
    <x v="15"/>
    <s v="area_code_408"/>
    <x v="0"/>
    <x v="1"/>
    <n v="0"/>
    <n v="67"/>
    <n v="76"/>
    <n v="11.39"/>
    <n v="223"/>
    <n v="154"/>
    <n v="18.96"/>
    <n v="236.5"/>
    <n v="151"/>
    <n v="10.64"/>
    <x v="7"/>
    <x v="5"/>
    <x v="7"/>
    <x v="0"/>
    <x v="0"/>
  </r>
  <r>
    <s v="AK"/>
    <x v="60"/>
    <s v="area_code_415"/>
    <x v="0"/>
    <x v="1"/>
    <n v="0"/>
    <n v="261.3"/>
    <n v="89"/>
    <n v="44.42"/>
    <n v="152.4"/>
    <n v="139"/>
    <n v="12.95"/>
    <n v="120.2"/>
    <n v="124"/>
    <n v="5.41"/>
    <x v="26"/>
    <x v="5"/>
    <x v="26"/>
    <x v="1"/>
    <x v="0"/>
  </r>
  <r>
    <s v="AL"/>
    <x v="62"/>
    <s v="area_code_415"/>
    <x v="0"/>
    <x v="1"/>
    <n v="0"/>
    <n v="135.1"/>
    <n v="92"/>
    <n v="22.97"/>
    <n v="185"/>
    <n v="103"/>
    <n v="15.73"/>
    <n v="147.1"/>
    <n v="74"/>
    <n v="6.62"/>
    <x v="20"/>
    <x v="1"/>
    <x v="20"/>
    <x v="3"/>
    <x v="0"/>
  </r>
  <r>
    <s v="SC"/>
    <x v="116"/>
    <s v="area_code_415"/>
    <x v="1"/>
    <x v="1"/>
    <n v="0"/>
    <n v="92.1"/>
    <n v="109"/>
    <n v="15.66"/>
    <n v="163"/>
    <n v="83"/>
    <n v="13.86"/>
    <n v="133.30000000000001"/>
    <n v="102"/>
    <n v="6"/>
    <x v="84"/>
    <x v="12"/>
    <x v="84"/>
    <x v="2"/>
    <x v="0"/>
  </r>
  <r>
    <s v="MN"/>
    <x v="85"/>
    <s v="area_code_408"/>
    <x v="0"/>
    <x v="1"/>
    <n v="0"/>
    <n v="173.5"/>
    <n v="121"/>
    <n v="29.5"/>
    <n v="168.3"/>
    <n v="100"/>
    <n v="14.31"/>
    <n v="138.30000000000001"/>
    <n v="105"/>
    <n v="6.22"/>
    <x v="35"/>
    <x v="1"/>
    <x v="35"/>
    <x v="0"/>
    <x v="0"/>
  </r>
  <r>
    <s v="KS"/>
    <x v="108"/>
    <s v="area_code_415"/>
    <x v="1"/>
    <x v="1"/>
    <n v="0"/>
    <n v="156.30000000000001"/>
    <n v="82"/>
    <n v="26.57"/>
    <n v="259.39999999999998"/>
    <n v="91"/>
    <n v="22.05"/>
    <n v="143.69999999999999"/>
    <n v="93"/>
    <n v="6.47"/>
    <x v="24"/>
    <x v="2"/>
    <x v="24"/>
    <x v="5"/>
    <x v="0"/>
  </r>
  <r>
    <s v="MA"/>
    <x v="13"/>
    <s v="area_code_415"/>
    <x v="0"/>
    <x v="1"/>
    <n v="0"/>
    <n v="274.7"/>
    <n v="79"/>
    <n v="46.7"/>
    <n v="119.4"/>
    <n v="122"/>
    <n v="10.15"/>
    <n v="296.89999999999998"/>
    <n v="74"/>
    <n v="13.36"/>
    <x v="27"/>
    <x v="11"/>
    <x v="27"/>
    <x v="0"/>
    <x v="0"/>
  </r>
  <r>
    <s v="KY"/>
    <x v="77"/>
    <s v="area_code_408"/>
    <x v="0"/>
    <x v="1"/>
    <n v="0"/>
    <n v="244.7"/>
    <n v="84"/>
    <n v="41.6"/>
    <n v="106.4"/>
    <n v="95"/>
    <n v="9.0399999999999991"/>
    <n v="194.9"/>
    <n v="61"/>
    <n v="8.77"/>
    <x v="26"/>
    <x v="8"/>
    <x v="26"/>
    <x v="2"/>
    <x v="1"/>
  </r>
  <r>
    <s v="WI"/>
    <x v="73"/>
    <s v="area_code_408"/>
    <x v="1"/>
    <x v="1"/>
    <n v="0"/>
    <n v="183.6"/>
    <n v="96"/>
    <n v="31.21"/>
    <n v="149.69999999999999"/>
    <n v="55"/>
    <n v="12.72"/>
    <n v="135.19999999999999"/>
    <n v="71"/>
    <n v="6.08"/>
    <x v="23"/>
    <x v="4"/>
    <x v="23"/>
    <x v="1"/>
    <x v="0"/>
  </r>
  <r>
    <s v="MI"/>
    <x v="147"/>
    <s v="area_code_408"/>
    <x v="0"/>
    <x v="1"/>
    <n v="0"/>
    <n v="167.1"/>
    <n v="80"/>
    <n v="28.41"/>
    <n v="222.9"/>
    <n v="94"/>
    <n v="18.95"/>
    <n v="179.9"/>
    <n v="103"/>
    <n v="8.1"/>
    <x v="43"/>
    <x v="0"/>
    <x v="43"/>
    <x v="5"/>
    <x v="0"/>
  </r>
  <r>
    <s v="NV"/>
    <x v="169"/>
    <s v="area_code_408"/>
    <x v="0"/>
    <x v="1"/>
    <n v="0"/>
    <n v="177.1"/>
    <n v="120"/>
    <n v="30.11"/>
    <n v="218.1"/>
    <n v="123"/>
    <n v="18.54"/>
    <n v="183.8"/>
    <n v="93"/>
    <n v="8.27"/>
    <x v="8"/>
    <x v="1"/>
    <x v="8"/>
    <x v="3"/>
    <x v="0"/>
  </r>
  <r>
    <s v="DC"/>
    <x v="39"/>
    <s v="area_code_415"/>
    <x v="0"/>
    <x v="1"/>
    <n v="0"/>
    <n v="217.8"/>
    <n v="120"/>
    <n v="37.03"/>
    <n v="139.6"/>
    <n v="109"/>
    <n v="11.87"/>
    <n v="227.7"/>
    <n v="111"/>
    <n v="10.25"/>
    <x v="43"/>
    <x v="0"/>
    <x v="43"/>
    <x v="1"/>
    <x v="0"/>
  </r>
  <r>
    <s v="NE"/>
    <x v="171"/>
    <s v="area_code_510"/>
    <x v="0"/>
    <x v="1"/>
    <n v="0"/>
    <n v="143.69999999999999"/>
    <n v="96"/>
    <n v="24.43"/>
    <n v="221"/>
    <n v="98"/>
    <n v="18.79"/>
    <n v="108.9"/>
    <n v="94"/>
    <n v="4.9000000000000004"/>
    <x v="53"/>
    <x v="8"/>
    <x v="53"/>
    <x v="2"/>
    <x v="0"/>
  </r>
  <r>
    <s v="OR"/>
    <x v="203"/>
    <s v="area_code_415"/>
    <x v="0"/>
    <x v="1"/>
    <n v="0"/>
    <n v="185"/>
    <n v="104"/>
    <n v="31.45"/>
    <n v="325.8"/>
    <n v="86"/>
    <n v="27.69"/>
    <n v="85.4"/>
    <n v="105"/>
    <n v="3.84"/>
    <x v="28"/>
    <x v="5"/>
    <x v="28"/>
    <x v="0"/>
    <x v="0"/>
  </r>
  <r>
    <s v="OR"/>
    <x v="27"/>
    <s v="area_code_415"/>
    <x v="0"/>
    <x v="0"/>
    <n v="23"/>
    <n v="235.6"/>
    <n v="65"/>
    <n v="40.049999999999997"/>
    <n v="177.7"/>
    <n v="81"/>
    <n v="15.1"/>
    <n v="138.69999999999999"/>
    <n v="105"/>
    <n v="6.24"/>
    <x v="61"/>
    <x v="1"/>
    <x v="61"/>
    <x v="0"/>
    <x v="0"/>
  </r>
  <r>
    <s v="AR"/>
    <x v="89"/>
    <s v="area_code_415"/>
    <x v="1"/>
    <x v="1"/>
    <n v="0"/>
    <n v="265.5"/>
    <n v="75"/>
    <n v="45.14"/>
    <n v="119.7"/>
    <n v="77"/>
    <n v="10.17"/>
    <n v="169.9"/>
    <n v="128"/>
    <n v="7.65"/>
    <x v="102"/>
    <x v="3"/>
    <x v="102"/>
    <x v="2"/>
    <x v="1"/>
  </r>
  <r>
    <s v="UT"/>
    <x v="116"/>
    <s v="area_code_415"/>
    <x v="0"/>
    <x v="1"/>
    <n v="0"/>
    <n v="332.1"/>
    <n v="91"/>
    <n v="56.46"/>
    <n v="151"/>
    <n v="123"/>
    <n v="12.84"/>
    <n v="277.8"/>
    <n v="99"/>
    <n v="12.5"/>
    <x v="61"/>
    <x v="0"/>
    <x v="61"/>
    <x v="0"/>
    <x v="1"/>
  </r>
  <r>
    <s v="AZ"/>
    <x v="19"/>
    <s v="area_code_408"/>
    <x v="1"/>
    <x v="0"/>
    <n v="21"/>
    <n v="223.4"/>
    <n v="89"/>
    <n v="37.979999999999997"/>
    <n v="193.2"/>
    <n v="105"/>
    <n v="16.420000000000002"/>
    <n v="226.2"/>
    <n v="85"/>
    <n v="10.18"/>
    <x v="18"/>
    <x v="1"/>
    <x v="18"/>
    <x v="3"/>
    <x v="0"/>
  </r>
  <r>
    <s v="ME"/>
    <x v="64"/>
    <s v="area_code_510"/>
    <x v="0"/>
    <x v="1"/>
    <n v="0"/>
    <n v="163.6"/>
    <n v="109"/>
    <n v="27.81"/>
    <n v="237.3"/>
    <n v="95"/>
    <n v="20.170000000000002"/>
    <n v="186.2"/>
    <n v="141"/>
    <n v="8.3800000000000008"/>
    <x v="10"/>
    <x v="1"/>
    <x v="10"/>
    <x v="1"/>
    <x v="0"/>
  </r>
  <r>
    <s v="MT"/>
    <x v="66"/>
    <s v="area_code_510"/>
    <x v="0"/>
    <x v="1"/>
    <n v="0"/>
    <n v="190"/>
    <n v="125"/>
    <n v="32.299999999999997"/>
    <n v="141.5"/>
    <n v="77"/>
    <n v="12.03"/>
    <n v="216.8"/>
    <n v="68"/>
    <n v="9.76"/>
    <x v="128"/>
    <x v="0"/>
    <x v="128"/>
    <x v="3"/>
    <x v="0"/>
  </r>
  <r>
    <s v="OK"/>
    <x v="36"/>
    <s v="area_code_510"/>
    <x v="0"/>
    <x v="1"/>
    <n v="0"/>
    <n v="153.69999999999999"/>
    <n v="100"/>
    <n v="26.13"/>
    <n v="174.2"/>
    <n v="139"/>
    <n v="14.81"/>
    <n v="242.3"/>
    <n v="53"/>
    <n v="10.9"/>
    <x v="71"/>
    <x v="0"/>
    <x v="71"/>
    <x v="0"/>
    <x v="0"/>
  </r>
  <r>
    <s v="VT"/>
    <x v="178"/>
    <s v="area_code_415"/>
    <x v="0"/>
    <x v="1"/>
    <n v="0"/>
    <n v="160.30000000000001"/>
    <n v="87"/>
    <n v="27.25"/>
    <n v="229.9"/>
    <n v="101"/>
    <n v="19.54"/>
    <n v="185.3"/>
    <n v="96"/>
    <n v="8.34"/>
    <x v="6"/>
    <x v="12"/>
    <x v="6"/>
    <x v="2"/>
    <x v="0"/>
  </r>
  <r>
    <s v="ID"/>
    <x v="17"/>
    <s v="area_code_510"/>
    <x v="0"/>
    <x v="1"/>
    <n v="0"/>
    <n v="140.9"/>
    <n v="68"/>
    <n v="23.95"/>
    <n v="217.5"/>
    <n v="109"/>
    <n v="18.489999999999998"/>
    <n v="123.6"/>
    <n v="96"/>
    <n v="5.56"/>
    <x v="109"/>
    <x v="4"/>
    <x v="109"/>
    <x v="3"/>
    <x v="0"/>
  </r>
  <r>
    <s v="SC"/>
    <x v="96"/>
    <s v="area_code_510"/>
    <x v="0"/>
    <x v="1"/>
    <n v="0"/>
    <n v="168.4"/>
    <n v="85"/>
    <n v="28.63"/>
    <n v="123.3"/>
    <n v="95"/>
    <n v="10.48"/>
    <n v="162.5"/>
    <n v="83"/>
    <n v="7.31"/>
    <x v="117"/>
    <x v="4"/>
    <x v="117"/>
    <x v="3"/>
    <x v="0"/>
  </r>
  <r>
    <s v="MA"/>
    <x v="50"/>
    <s v="area_code_408"/>
    <x v="0"/>
    <x v="1"/>
    <n v="0"/>
    <n v="150.9"/>
    <n v="92"/>
    <n v="25.65"/>
    <n v="191"/>
    <n v="106"/>
    <n v="16.239999999999998"/>
    <n v="223.6"/>
    <n v="107"/>
    <n v="10.06"/>
    <x v="24"/>
    <x v="4"/>
    <x v="24"/>
    <x v="5"/>
    <x v="1"/>
  </r>
  <r>
    <s v="OK"/>
    <x v="60"/>
    <s v="area_code_415"/>
    <x v="0"/>
    <x v="1"/>
    <n v="0"/>
    <n v="255.1"/>
    <n v="96"/>
    <n v="43.37"/>
    <n v="276.89999999999998"/>
    <n v="67"/>
    <n v="23.54"/>
    <n v="226.5"/>
    <n v="74"/>
    <n v="10.19"/>
    <x v="15"/>
    <x v="5"/>
    <x v="15"/>
    <x v="1"/>
    <x v="1"/>
  </r>
  <r>
    <s v="CO"/>
    <x v="121"/>
    <s v="area_code_415"/>
    <x v="0"/>
    <x v="1"/>
    <n v="0"/>
    <n v="94.5"/>
    <n v="107"/>
    <n v="16.07"/>
    <n v="191.8"/>
    <n v="85"/>
    <n v="16.3"/>
    <n v="196.2"/>
    <n v="131"/>
    <n v="8.83"/>
    <x v="51"/>
    <x v="1"/>
    <x v="51"/>
    <x v="0"/>
    <x v="0"/>
  </r>
  <r>
    <s v="WA"/>
    <x v="107"/>
    <s v="area_code_415"/>
    <x v="0"/>
    <x v="1"/>
    <n v="0"/>
    <n v="135"/>
    <n v="116"/>
    <n v="22.95"/>
    <n v="159"/>
    <n v="108"/>
    <n v="13.52"/>
    <n v="170.3"/>
    <n v="130"/>
    <n v="7.66"/>
    <x v="22"/>
    <x v="9"/>
    <x v="22"/>
    <x v="0"/>
    <x v="0"/>
  </r>
  <r>
    <s v="KS"/>
    <x v="9"/>
    <s v="area_code_408"/>
    <x v="0"/>
    <x v="1"/>
    <n v="0"/>
    <n v="286.89999999999998"/>
    <n v="113"/>
    <n v="48.77"/>
    <n v="260.8"/>
    <n v="121"/>
    <n v="22.17"/>
    <n v="137.1"/>
    <n v="94"/>
    <n v="6.17"/>
    <x v="44"/>
    <x v="3"/>
    <x v="44"/>
    <x v="1"/>
    <x v="1"/>
  </r>
  <r>
    <s v="GA"/>
    <x v="124"/>
    <s v="area_code_415"/>
    <x v="0"/>
    <x v="1"/>
    <n v="0"/>
    <n v="165.4"/>
    <n v="70"/>
    <n v="28.12"/>
    <n v="280.10000000000002"/>
    <n v="104"/>
    <n v="23.81"/>
    <n v="121.8"/>
    <n v="106"/>
    <n v="5.48"/>
    <x v="91"/>
    <x v="6"/>
    <x v="91"/>
    <x v="0"/>
    <x v="0"/>
  </r>
  <r>
    <s v="AL"/>
    <x v="14"/>
    <s v="area_code_415"/>
    <x v="0"/>
    <x v="1"/>
    <n v="0"/>
    <n v="222"/>
    <n v="99"/>
    <n v="37.74"/>
    <n v="215.9"/>
    <n v="122"/>
    <n v="18.350000000000001"/>
    <n v="204.1"/>
    <n v="131"/>
    <n v="9.18"/>
    <x v="45"/>
    <x v="1"/>
    <x v="45"/>
    <x v="3"/>
    <x v="1"/>
  </r>
  <r>
    <s v="KY"/>
    <x v="147"/>
    <s v="area_code_415"/>
    <x v="1"/>
    <x v="1"/>
    <n v="0"/>
    <n v="209.8"/>
    <n v="85"/>
    <n v="35.67"/>
    <n v="165.7"/>
    <n v="100"/>
    <n v="14.08"/>
    <n v="230.1"/>
    <n v="92"/>
    <n v="10.35"/>
    <x v="6"/>
    <x v="3"/>
    <x v="6"/>
    <x v="1"/>
    <x v="0"/>
  </r>
  <r>
    <s v="LA"/>
    <x v="204"/>
    <s v="area_code_408"/>
    <x v="0"/>
    <x v="0"/>
    <n v="31"/>
    <n v="158.30000000000001"/>
    <n v="99"/>
    <n v="26.91"/>
    <n v="164.2"/>
    <n v="98"/>
    <n v="13.96"/>
    <n v="192.7"/>
    <n v="108"/>
    <n v="8.67"/>
    <x v="60"/>
    <x v="0"/>
    <x v="60"/>
    <x v="2"/>
    <x v="0"/>
  </r>
  <r>
    <s v="MN"/>
    <x v="12"/>
    <s v="area_code_408"/>
    <x v="0"/>
    <x v="1"/>
    <n v="0"/>
    <n v="252.3"/>
    <n v="120"/>
    <n v="42.89"/>
    <n v="243.8"/>
    <n v="98"/>
    <n v="20.72"/>
    <n v="284.39999999999998"/>
    <n v="96"/>
    <n v="12.8"/>
    <x v="29"/>
    <x v="5"/>
    <x v="29"/>
    <x v="0"/>
    <x v="1"/>
  </r>
  <r>
    <s v="WV"/>
    <x v="43"/>
    <s v="area_code_415"/>
    <x v="0"/>
    <x v="1"/>
    <n v="0"/>
    <n v="255.5"/>
    <n v="93"/>
    <n v="43.44"/>
    <n v="224.4"/>
    <n v="122"/>
    <n v="19.07"/>
    <n v="317.3"/>
    <n v="85"/>
    <n v="14.28"/>
    <x v="8"/>
    <x v="4"/>
    <x v="8"/>
    <x v="0"/>
    <x v="1"/>
  </r>
  <r>
    <s v="WY"/>
    <x v="112"/>
    <s v="area_code_415"/>
    <x v="0"/>
    <x v="1"/>
    <n v="0"/>
    <n v="227.9"/>
    <n v="105"/>
    <n v="38.74"/>
    <n v="218.7"/>
    <n v="118"/>
    <n v="18.59"/>
    <n v="223.2"/>
    <n v="120"/>
    <n v="10.039999999999999"/>
    <x v="66"/>
    <x v="1"/>
    <x v="66"/>
    <x v="3"/>
    <x v="0"/>
  </r>
  <r>
    <s v="NE"/>
    <x v="129"/>
    <s v="area_code_510"/>
    <x v="0"/>
    <x v="1"/>
    <n v="0"/>
    <n v="185"/>
    <n v="113"/>
    <n v="31.45"/>
    <n v="106.5"/>
    <n v="125"/>
    <n v="9.0500000000000007"/>
    <n v="167.3"/>
    <n v="78"/>
    <n v="7.53"/>
    <x v="42"/>
    <x v="5"/>
    <x v="42"/>
    <x v="1"/>
    <x v="0"/>
  </r>
  <r>
    <s v="MI"/>
    <x v="20"/>
    <s v="area_code_415"/>
    <x v="0"/>
    <x v="1"/>
    <n v="0"/>
    <n v="140"/>
    <n v="100"/>
    <n v="23.8"/>
    <n v="174.7"/>
    <n v="102"/>
    <n v="14.85"/>
    <n v="258.5"/>
    <n v="111"/>
    <n v="11.63"/>
    <x v="64"/>
    <x v="4"/>
    <x v="64"/>
    <x v="0"/>
    <x v="0"/>
  </r>
  <r>
    <s v="NH"/>
    <x v="51"/>
    <s v="area_code_415"/>
    <x v="0"/>
    <x v="1"/>
    <n v="0"/>
    <n v="157.5"/>
    <n v="96"/>
    <n v="26.78"/>
    <n v="271.7"/>
    <n v="107"/>
    <n v="23.09"/>
    <n v="138.19999999999999"/>
    <n v="84"/>
    <n v="6.22"/>
    <x v="85"/>
    <x v="3"/>
    <x v="85"/>
    <x v="2"/>
    <x v="0"/>
  </r>
  <r>
    <s v="AK"/>
    <x v="28"/>
    <s v="area_code_415"/>
    <x v="0"/>
    <x v="1"/>
    <n v="0"/>
    <n v="237.5"/>
    <n v="130"/>
    <n v="40.380000000000003"/>
    <n v="213.2"/>
    <n v="85"/>
    <n v="18.12"/>
    <n v="194.1"/>
    <n v="107"/>
    <n v="8.73"/>
    <x v="3"/>
    <x v="0"/>
    <x v="3"/>
    <x v="1"/>
    <x v="0"/>
  </r>
  <r>
    <s v="AZ"/>
    <x v="79"/>
    <s v="area_code_415"/>
    <x v="0"/>
    <x v="0"/>
    <n v="10"/>
    <n v="190.7"/>
    <n v="100"/>
    <n v="32.42"/>
    <n v="177.7"/>
    <n v="114"/>
    <n v="15.1"/>
    <n v="167.3"/>
    <n v="100"/>
    <n v="7.53"/>
    <x v="75"/>
    <x v="5"/>
    <x v="75"/>
    <x v="1"/>
    <x v="0"/>
  </r>
  <r>
    <s v="NV"/>
    <x v="16"/>
    <s v="area_code_415"/>
    <x v="0"/>
    <x v="1"/>
    <n v="0"/>
    <n v="215.5"/>
    <n v="81"/>
    <n v="36.64"/>
    <n v="170.9"/>
    <n v="100"/>
    <n v="14.53"/>
    <n v="170.3"/>
    <n v="59"/>
    <n v="7.66"/>
    <x v="19"/>
    <x v="0"/>
    <x v="19"/>
    <x v="0"/>
    <x v="0"/>
  </r>
  <r>
    <s v="WV"/>
    <x v="63"/>
    <s v="area_code_408"/>
    <x v="0"/>
    <x v="0"/>
    <n v="12"/>
    <n v="119.9"/>
    <n v="83"/>
    <n v="20.38"/>
    <n v="237.7"/>
    <n v="98"/>
    <n v="20.2"/>
    <n v="187.6"/>
    <n v="159"/>
    <n v="8.44"/>
    <x v="155"/>
    <x v="5"/>
    <x v="155"/>
    <x v="0"/>
    <x v="0"/>
  </r>
  <r>
    <s v="VT"/>
    <x v="96"/>
    <s v="area_code_510"/>
    <x v="1"/>
    <x v="1"/>
    <n v="0"/>
    <n v="196.7"/>
    <n v="100"/>
    <n v="33.44"/>
    <n v="210.2"/>
    <n v="109"/>
    <n v="17.87"/>
    <n v="173.8"/>
    <n v="83"/>
    <n v="7.82"/>
    <x v="35"/>
    <x v="8"/>
    <x v="35"/>
    <x v="4"/>
    <x v="1"/>
  </r>
  <r>
    <s v="OK"/>
    <x v="89"/>
    <s v="area_code_510"/>
    <x v="0"/>
    <x v="1"/>
    <n v="0"/>
    <n v="230.7"/>
    <n v="122"/>
    <n v="39.22"/>
    <n v="204.7"/>
    <n v="134"/>
    <n v="17.399999999999999"/>
    <n v="142"/>
    <n v="86"/>
    <n v="6.39"/>
    <x v="6"/>
    <x v="0"/>
    <x v="6"/>
    <x v="2"/>
    <x v="0"/>
  </r>
  <r>
    <s v="OR"/>
    <x v="42"/>
    <s v="area_code_415"/>
    <x v="0"/>
    <x v="1"/>
    <n v="0"/>
    <n v="222.3"/>
    <n v="102"/>
    <n v="37.79"/>
    <n v="173.8"/>
    <n v="123"/>
    <n v="14.77"/>
    <n v="297.2"/>
    <n v="97"/>
    <n v="13.37"/>
    <x v="16"/>
    <x v="5"/>
    <x v="16"/>
    <x v="1"/>
    <x v="1"/>
  </r>
  <r>
    <s v="NY"/>
    <x v="28"/>
    <s v="area_code_510"/>
    <x v="0"/>
    <x v="1"/>
    <n v="0"/>
    <n v="198.6"/>
    <n v="92"/>
    <n v="33.76"/>
    <n v="349.4"/>
    <n v="99"/>
    <n v="29.7"/>
    <n v="221.7"/>
    <n v="83"/>
    <n v="9.98"/>
    <x v="48"/>
    <x v="3"/>
    <x v="48"/>
    <x v="2"/>
    <x v="1"/>
  </r>
  <r>
    <s v="ME"/>
    <x v="171"/>
    <s v="area_code_510"/>
    <x v="0"/>
    <x v="1"/>
    <n v="0"/>
    <n v="139.4"/>
    <n v="109"/>
    <n v="23.7"/>
    <n v="223.8"/>
    <n v="121"/>
    <n v="19.02"/>
    <n v="244.9"/>
    <n v="105"/>
    <n v="11.02"/>
    <x v="117"/>
    <x v="0"/>
    <x v="117"/>
    <x v="0"/>
    <x v="0"/>
  </r>
  <r>
    <s v="VA"/>
    <x v="63"/>
    <s v="area_code_408"/>
    <x v="0"/>
    <x v="1"/>
    <n v="0"/>
    <n v="130.4"/>
    <n v="121"/>
    <n v="22.17"/>
    <n v="219.9"/>
    <n v="103"/>
    <n v="18.690000000000001"/>
    <n v="84.1"/>
    <n v="85"/>
    <n v="3.78"/>
    <x v="52"/>
    <x v="0"/>
    <x v="52"/>
    <x v="2"/>
    <x v="0"/>
  </r>
  <r>
    <s v="NY"/>
    <x v="115"/>
    <s v="area_code_408"/>
    <x v="0"/>
    <x v="1"/>
    <n v="0"/>
    <n v="153.19999999999999"/>
    <n v="131"/>
    <n v="26.04"/>
    <n v="116.6"/>
    <n v="85"/>
    <n v="9.91"/>
    <n v="218.5"/>
    <n v="74"/>
    <n v="9.83"/>
    <x v="3"/>
    <x v="1"/>
    <x v="3"/>
    <x v="0"/>
    <x v="0"/>
  </r>
  <r>
    <s v="MD"/>
    <x v="152"/>
    <s v="area_code_415"/>
    <x v="1"/>
    <x v="1"/>
    <n v="0"/>
    <n v="177.1"/>
    <n v="104"/>
    <n v="30.11"/>
    <n v="217.4"/>
    <n v="97"/>
    <n v="18.48"/>
    <n v="191.8"/>
    <n v="131"/>
    <n v="8.6300000000000008"/>
    <x v="84"/>
    <x v="1"/>
    <x v="84"/>
    <x v="2"/>
    <x v="0"/>
  </r>
  <r>
    <s v="GA"/>
    <x v="16"/>
    <s v="area_code_415"/>
    <x v="0"/>
    <x v="1"/>
    <n v="0"/>
    <n v="134.5"/>
    <n v="119"/>
    <n v="22.87"/>
    <n v="119.7"/>
    <n v="104"/>
    <n v="10.17"/>
    <n v="250.7"/>
    <n v="112"/>
    <n v="11.28"/>
    <x v="38"/>
    <x v="1"/>
    <x v="38"/>
    <x v="1"/>
    <x v="0"/>
  </r>
  <r>
    <s v="WY"/>
    <x v="129"/>
    <s v="area_code_510"/>
    <x v="0"/>
    <x v="0"/>
    <n v="38"/>
    <n v="201.8"/>
    <n v="66"/>
    <n v="34.31"/>
    <n v="200.1"/>
    <n v="87"/>
    <n v="17.010000000000002"/>
    <n v="173.7"/>
    <n v="112"/>
    <n v="7.82"/>
    <x v="17"/>
    <x v="0"/>
    <x v="17"/>
    <x v="1"/>
    <x v="0"/>
  </r>
  <r>
    <s v="WV"/>
    <x v="71"/>
    <s v="area_code_415"/>
    <x v="0"/>
    <x v="1"/>
    <n v="0"/>
    <n v="180.5"/>
    <n v="114"/>
    <n v="30.69"/>
    <n v="117.9"/>
    <n v="80"/>
    <n v="10.02"/>
    <n v="192.9"/>
    <n v="97"/>
    <n v="8.68"/>
    <x v="39"/>
    <x v="4"/>
    <x v="39"/>
    <x v="2"/>
    <x v="0"/>
  </r>
  <r>
    <s v="OH"/>
    <x v="78"/>
    <s v="area_code_415"/>
    <x v="0"/>
    <x v="0"/>
    <n v="40"/>
    <n v="164.5"/>
    <n v="95"/>
    <n v="27.97"/>
    <n v="228.7"/>
    <n v="82"/>
    <n v="19.440000000000001"/>
    <n v="194.7"/>
    <n v="97"/>
    <n v="8.76"/>
    <x v="33"/>
    <x v="8"/>
    <x v="33"/>
    <x v="4"/>
    <x v="0"/>
  </r>
  <r>
    <s v="AK"/>
    <x v="25"/>
    <s v="area_code_415"/>
    <x v="1"/>
    <x v="0"/>
    <n v="19"/>
    <n v="171.9"/>
    <n v="96"/>
    <n v="29.22"/>
    <n v="198.4"/>
    <n v="111"/>
    <n v="16.86"/>
    <n v="321.7"/>
    <n v="76"/>
    <n v="14.48"/>
    <x v="26"/>
    <x v="8"/>
    <x v="26"/>
    <x v="0"/>
    <x v="1"/>
  </r>
  <r>
    <s v="IL"/>
    <x v="137"/>
    <s v="area_code_415"/>
    <x v="0"/>
    <x v="1"/>
    <n v="0"/>
    <n v="221.4"/>
    <n v="69"/>
    <n v="37.64"/>
    <n v="195.2"/>
    <n v="53"/>
    <n v="16.59"/>
    <n v="120.6"/>
    <n v="91"/>
    <n v="5.43"/>
    <x v="0"/>
    <x v="4"/>
    <x v="0"/>
    <x v="0"/>
    <x v="0"/>
  </r>
  <r>
    <s v="RI"/>
    <x v="173"/>
    <s v="area_code_510"/>
    <x v="0"/>
    <x v="1"/>
    <n v="0"/>
    <n v="241.5"/>
    <n v="114"/>
    <n v="41.06"/>
    <n v="195.2"/>
    <n v="94"/>
    <n v="16.59"/>
    <n v="201.6"/>
    <n v="93"/>
    <n v="9.07"/>
    <x v="71"/>
    <x v="0"/>
    <x v="71"/>
    <x v="3"/>
    <x v="0"/>
  </r>
  <r>
    <s v="WY"/>
    <x v="86"/>
    <s v="area_code_415"/>
    <x v="0"/>
    <x v="1"/>
    <n v="0"/>
    <n v="116.5"/>
    <n v="77"/>
    <n v="19.809999999999999"/>
    <n v="186.1"/>
    <n v="111"/>
    <n v="15.82"/>
    <n v="180.6"/>
    <n v="72"/>
    <n v="8.1300000000000008"/>
    <x v="137"/>
    <x v="5"/>
    <x v="137"/>
    <x v="3"/>
    <x v="0"/>
  </r>
  <r>
    <s v="WA"/>
    <x v="126"/>
    <s v="area_code_415"/>
    <x v="0"/>
    <x v="1"/>
    <n v="0"/>
    <n v="158.1"/>
    <n v="107"/>
    <n v="26.88"/>
    <n v="181.5"/>
    <n v="101"/>
    <n v="15.43"/>
    <n v="200.3"/>
    <n v="126"/>
    <n v="9.01"/>
    <x v="24"/>
    <x v="2"/>
    <x v="24"/>
    <x v="0"/>
    <x v="0"/>
  </r>
  <r>
    <s v="CO"/>
    <x v="55"/>
    <s v="area_code_408"/>
    <x v="0"/>
    <x v="1"/>
    <n v="0"/>
    <n v="121.6"/>
    <n v="81"/>
    <n v="20.67"/>
    <n v="191.3"/>
    <n v="109"/>
    <n v="16.260000000000002"/>
    <n v="231.4"/>
    <n v="81"/>
    <n v="10.41"/>
    <x v="53"/>
    <x v="1"/>
    <x v="53"/>
    <x v="3"/>
    <x v="0"/>
  </r>
  <r>
    <s v="AL"/>
    <x v="132"/>
    <s v="area_code_415"/>
    <x v="0"/>
    <x v="0"/>
    <n v="28"/>
    <n v="222.5"/>
    <n v="134"/>
    <n v="37.83"/>
    <n v="177.8"/>
    <n v="106"/>
    <n v="15.11"/>
    <n v="194.6"/>
    <n v="90"/>
    <n v="8.76"/>
    <x v="84"/>
    <x v="4"/>
    <x v="84"/>
    <x v="2"/>
    <x v="0"/>
  </r>
  <r>
    <s v="IA"/>
    <x v="55"/>
    <s v="area_code_510"/>
    <x v="0"/>
    <x v="0"/>
    <n v="23"/>
    <n v="123.7"/>
    <n v="93"/>
    <n v="21.03"/>
    <n v="139.1"/>
    <n v="74"/>
    <n v="11.82"/>
    <n v="174.5"/>
    <n v="118"/>
    <n v="7.85"/>
    <x v="15"/>
    <x v="5"/>
    <x v="15"/>
    <x v="0"/>
    <x v="0"/>
  </r>
  <r>
    <s v="OH"/>
    <x v="155"/>
    <s v="area_code_415"/>
    <x v="0"/>
    <x v="1"/>
    <n v="0"/>
    <n v="244.8"/>
    <n v="76"/>
    <n v="41.62"/>
    <n v="77.2"/>
    <n v="100"/>
    <n v="6.56"/>
    <n v="222.8"/>
    <n v="102"/>
    <n v="10.029999999999999"/>
    <x v="13"/>
    <x v="0"/>
    <x v="13"/>
    <x v="1"/>
    <x v="0"/>
  </r>
  <r>
    <s v="HI"/>
    <x v="137"/>
    <s v="area_code_510"/>
    <x v="0"/>
    <x v="1"/>
    <n v="0"/>
    <n v="297.39999999999998"/>
    <n v="63"/>
    <n v="50.56"/>
    <n v="118.4"/>
    <n v="108"/>
    <n v="10.06"/>
    <n v="242.3"/>
    <n v="72"/>
    <n v="10.9"/>
    <x v="34"/>
    <x v="5"/>
    <x v="34"/>
    <x v="2"/>
    <x v="1"/>
  </r>
  <r>
    <s v="WV"/>
    <x v="69"/>
    <s v="area_code_415"/>
    <x v="0"/>
    <x v="1"/>
    <n v="0"/>
    <n v="147.80000000000001"/>
    <n v="95"/>
    <n v="25.13"/>
    <n v="201.4"/>
    <n v="72"/>
    <n v="17.12"/>
    <n v="154.9"/>
    <n v="118"/>
    <n v="6.97"/>
    <x v="53"/>
    <x v="10"/>
    <x v="53"/>
    <x v="0"/>
    <x v="0"/>
  </r>
  <r>
    <s v="ID"/>
    <x v="90"/>
    <s v="area_code_415"/>
    <x v="0"/>
    <x v="1"/>
    <n v="0"/>
    <n v="186.5"/>
    <n v="108"/>
    <n v="31.71"/>
    <n v="190.2"/>
    <n v="107"/>
    <n v="16.170000000000002"/>
    <n v="187.8"/>
    <n v="103"/>
    <n v="8.4499999999999993"/>
    <x v="34"/>
    <x v="1"/>
    <x v="34"/>
    <x v="0"/>
    <x v="0"/>
  </r>
  <r>
    <s v="TX"/>
    <x v="115"/>
    <s v="area_code_510"/>
    <x v="0"/>
    <x v="1"/>
    <n v="0"/>
    <n v="107.2"/>
    <n v="100"/>
    <n v="18.22"/>
    <n v="221.1"/>
    <n v="100"/>
    <n v="18.79"/>
    <n v="212.6"/>
    <n v="96"/>
    <n v="9.57"/>
    <x v="24"/>
    <x v="0"/>
    <x v="24"/>
    <x v="2"/>
    <x v="0"/>
  </r>
  <r>
    <s v="ID"/>
    <x v="47"/>
    <s v="area_code_415"/>
    <x v="0"/>
    <x v="0"/>
    <n v="36"/>
    <n v="93.1"/>
    <n v="68"/>
    <n v="15.83"/>
    <n v="246.1"/>
    <n v="83"/>
    <n v="20.92"/>
    <n v="94.9"/>
    <n v="109"/>
    <n v="4.2699999999999996"/>
    <x v="6"/>
    <x v="10"/>
    <x v="6"/>
    <x v="0"/>
    <x v="0"/>
  </r>
  <r>
    <s v="CA"/>
    <x v="27"/>
    <s v="area_code_510"/>
    <x v="0"/>
    <x v="1"/>
    <n v="0"/>
    <n v="132.4"/>
    <n v="110"/>
    <n v="22.51"/>
    <n v="254.1"/>
    <n v="81"/>
    <n v="21.6"/>
    <n v="176.5"/>
    <n v="100"/>
    <n v="7.94"/>
    <x v="14"/>
    <x v="3"/>
    <x v="14"/>
    <x v="2"/>
    <x v="0"/>
  </r>
  <r>
    <s v="OR"/>
    <x v="44"/>
    <s v="area_code_415"/>
    <x v="0"/>
    <x v="1"/>
    <n v="0"/>
    <n v="114.5"/>
    <n v="103"/>
    <n v="19.47"/>
    <n v="228.8"/>
    <n v="100"/>
    <n v="19.45"/>
    <n v="135.80000000000001"/>
    <n v="74"/>
    <n v="6.11"/>
    <x v="85"/>
    <x v="0"/>
    <x v="85"/>
    <x v="1"/>
    <x v="0"/>
  </r>
  <r>
    <s v="NY"/>
    <x v="16"/>
    <s v="area_code_415"/>
    <x v="0"/>
    <x v="1"/>
    <n v="0"/>
    <n v="184.7"/>
    <n v="130"/>
    <n v="31.4"/>
    <n v="194"/>
    <n v="105"/>
    <n v="16.489999999999998"/>
    <n v="249.1"/>
    <n v="91"/>
    <n v="11.21"/>
    <x v="62"/>
    <x v="4"/>
    <x v="62"/>
    <x v="0"/>
    <x v="0"/>
  </r>
  <r>
    <s v="MI"/>
    <x v="77"/>
    <s v="area_code_415"/>
    <x v="0"/>
    <x v="1"/>
    <n v="0"/>
    <n v="94.1"/>
    <n v="127"/>
    <n v="16"/>
    <n v="283"/>
    <n v="97"/>
    <n v="24.06"/>
    <n v="168.7"/>
    <n v="69"/>
    <n v="7.59"/>
    <x v="19"/>
    <x v="3"/>
    <x v="19"/>
    <x v="2"/>
    <x v="0"/>
  </r>
  <r>
    <s v="WA"/>
    <x v="58"/>
    <s v="area_code_415"/>
    <x v="0"/>
    <x v="1"/>
    <n v="0"/>
    <n v="229.3"/>
    <n v="110"/>
    <n v="38.979999999999997"/>
    <n v="118.2"/>
    <n v="89"/>
    <n v="10.050000000000001"/>
    <n v="155"/>
    <n v="105"/>
    <n v="6.98"/>
    <x v="57"/>
    <x v="4"/>
    <x v="57"/>
    <x v="0"/>
    <x v="0"/>
  </r>
  <r>
    <s v="VT"/>
    <x v="61"/>
    <s v="area_code_510"/>
    <x v="0"/>
    <x v="1"/>
    <n v="0"/>
    <n v="223.8"/>
    <n v="109"/>
    <n v="38.049999999999997"/>
    <n v="233.4"/>
    <n v="68"/>
    <n v="19.84"/>
    <n v="201.6"/>
    <n v="111"/>
    <n v="9.07"/>
    <x v="82"/>
    <x v="10"/>
    <x v="82"/>
    <x v="0"/>
    <x v="0"/>
  </r>
  <r>
    <s v="DC"/>
    <x v="81"/>
    <s v="area_code_415"/>
    <x v="0"/>
    <x v="0"/>
    <n v="27"/>
    <n v="154.4"/>
    <n v="141"/>
    <n v="26.25"/>
    <n v="210.6"/>
    <n v="109"/>
    <n v="17.899999999999999"/>
    <n v="167.9"/>
    <n v="109"/>
    <n v="7.56"/>
    <x v="35"/>
    <x v="0"/>
    <x v="35"/>
    <x v="3"/>
    <x v="0"/>
  </r>
  <r>
    <s v="TX"/>
    <x v="41"/>
    <s v="area_code_415"/>
    <x v="0"/>
    <x v="1"/>
    <n v="0"/>
    <n v="190.2"/>
    <n v="107"/>
    <n v="32.33"/>
    <n v="209.2"/>
    <n v="75"/>
    <n v="17.78"/>
    <n v="102.1"/>
    <n v="136"/>
    <n v="4.59"/>
    <x v="66"/>
    <x v="1"/>
    <x v="66"/>
    <x v="4"/>
    <x v="1"/>
  </r>
  <r>
    <s v="NJ"/>
    <x v="82"/>
    <s v="area_code_415"/>
    <x v="0"/>
    <x v="1"/>
    <n v="0"/>
    <n v="167"/>
    <n v="120"/>
    <n v="28.39"/>
    <n v="209.1"/>
    <n v="102"/>
    <n v="17.77"/>
    <n v="131"/>
    <n v="107"/>
    <n v="5.9"/>
    <x v="53"/>
    <x v="5"/>
    <x v="53"/>
    <x v="0"/>
    <x v="0"/>
  </r>
  <r>
    <s v="ND"/>
    <x v="60"/>
    <s v="area_code_510"/>
    <x v="0"/>
    <x v="1"/>
    <n v="0"/>
    <n v="154.80000000000001"/>
    <n v="113"/>
    <n v="26.32"/>
    <n v="261.8"/>
    <n v="121"/>
    <n v="22.25"/>
    <n v="213"/>
    <n v="81"/>
    <n v="9.58"/>
    <x v="43"/>
    <x v="1"/>
    <x v="43"/>
    <x v="1"/>
    <x v="0"/>
  </r>
  <r>
    <s v="CO"/>
    <x v="182"/>
    <s v="area_code_415"/>
    <x v="0"/>
    <x v="0"/>
    <n v="36"/>
    <n v="293.39999999999998"/>
    <n v="122"/>
    <n v="49.88"/>
    <n v="174.1"/>
    <n v="91"/>
    <n v="14.8"/>
    <n v="212"/>
    <n v="50"/>
    <n v="9.5399999999999991"/>
    <x v="72"/>
    <x v="3"/>
    <x v="72"/>
    <x v="0"/>
    <x v="0"/>
  </r>
  <r>
    <s v="CO"/>
    <x v="73"/>
    <s v="area_code_415"/>
    <x v="0"/>
    <x v="1"/>
    <n v="0"/>
    <n v="160.5"/>
    <n v="113"/>
    <n v="27.29"/>
    <n v="287.3"/>
    <n v="134"/>
    <n v="24.42"/>
    <n v="212.6"/>
    <n v="93"/>
    <n v="9.57"/>
    <x v="45"/>
    <x v="0"/>
    <x v="45"/>
    <x v="3"/>
    <x v="0"/>
  </r>
  <r>
    <s v="GA"/>
    <x v="58"/>
    <s v="area_code_415"/>
    <x v="0"/>
    <x v="0"/>
    <n v="20"/>
    <n v="230.2"/>
    <n v="110"/>
    <n v="39.130000000000003"/>
    <n v="177.5"/>
    <n v="111"/>
    <n v="15.09"/>
    <n v="206.3"/>
    <n v="38"/>
    <n v="9.2799999999999994"/>
    <x v="78"/>
    <x v="5"/>
    <x v="78"/>
    <x v="1"/>
    <x v="0"/>
  </r>
  <r>
    <s v="UT"/>
    <x v="55"/>
    <s v="area_code_510"/>
    <x v="0"/>
    <x v="1"/>
    <n v="0"/>
    <n v="191.9"/>
    <n v="95"/>
    <n v="32.619999999999997"/>
    <n v="116.7"/>
    <n v="105"/>
    <n v="9.92"/>
    <n v="202.6"/>
    <n v="113"/>
    <n v="9.1199999999999992"/>
    <x v="45"/>
    <x v="1"/>
    <x v="45"/>
    <x v="1"/>
    <x v="0"/>
  </r>
  <r>
    <s v="CO"/>
    <x v="8"/>
    <s v="area_code_408"/>
    <x v="0"/>
    <x v="1"/>
    <n v="0"/>
    <n v="131.5"/>
    <n v="119"/>
    <n v="22.36"/>
    <n v="222.3"/>
    <n v="119"/>
    <n v="18.899999999999999"/>
    <n v="155.30000000000001"/>
    <n v="83"/>
    <n v="6.99"/>
    <x v="22"/>
    <x v="2"/>
    <x v="22"/>
    <x v="0"/>
    <x v="0"/>
  </r>
  <r>
    <s v="AZ"/>
    <x v="147"/>
    <s v="area_code_510"/>
    <x v="0"/>
    <x v="1"/>
    <n v="0"/>
    <n v="171.6"/>
    <n v="116"/>
    <n v="29.17"/>
    <n v="219.4"/>
    <n v="111"/>
    <n v="18.649999999999999"/>
    <n v="242.1"/>
    <n v="85"/>
    <n v="10.89"/>
    <x v="47"/>
    <x v="4"/>
    <x v="47"/>
    <x v="1"/>
    <x v="1"/>
  </r>
  <r>
    <s v="CT"/>
    <x v="26"/>
    <s v="area_code_408"/>
    <x v="0"/>
    <x v="1"/>
    <n v="0"/>
    <n v="157.30000000000001"/>
    <n v="61"/>
    <n v="26.74"/>
    <n v="242"/>
    <n v="119"/>
    <n v="20.57"/>
    <n v="196"/>
    <n v="107"/>
    <n v="8.82"/>
    <x v="15"/>
    <x v="8"/>
    <x v="15"/>
    <x v="0"/>
    <x v="0"/>
  </r>
  <r>
    <s v="NM"/>
    <x v="16"/>
    <s v="area_code_408"/>
    <x v="1"/>
    <x v="1"/>
    <n v="0"/>
    <n v="192.7"/>
    <n v="82"/>
    <n v="32.76"/>
    <n v="198"/>
    <n v="91"/>
    <n v="16.829999999999998"/>
    <n v="204.2"/>
    <n v="95"/>
    <n v="9.19"/>
    <x v="62"/>
    <x v="3"/>
    <x v="62"/>
    <x v="0"/>
    <x v="0"/>
  </r>
  <r>
    <s v="ME"/>
    <x v="142"/>
    <s v="area_code_415"/>
    <x v="0"/>
    <x v="0"/>
    <n v="29"/>
    <n v="239.6"/>
    <n v="84"/>
    <n v="40.729999999999997"/>
    <n v="182.1"/>
    <n v="80"/>
    <n v="15.48"/>
    <n v="118.3"/>
    <n v="100"/>
    <n v="5.32"/>
    <x v="34"/>
    <x v="0"/>
    <x v="34"/>
    <x v="2"/>
    <x v="0"/>
  </r>
  <r>
    <s v="CT"/>
    <x v="45"/>
    <s v="area_code_510"/>
    <x v="0"/>
    <x v="1"/>
    <n v="0"/>
    <n v="96.9"/>
    <n v="110"/>
    <n v="16.47"/>
    <n v="241.4"/>
    <n v="75"/>
    <n v="20.52"/>
    <n v="141"/>
    <n v="69"/>
    <n v="6.35"/>
    <x v="81"/>
    <x v="0"/>
    <x v="81"/>
    <x v="1"/>
    <x v="0"/>
  </r>
  <r>
    <s v="MO"/>
    <x v="137"/>
    <s v="area_code_408"/>
    <x v="0"/>
    <x v="1"/>
    <n v="0"/>
    <n v="129.5"/>
    <n v="104"/>
    <n v="22.02"/>
    <n v="194"/>
    <n v="133"/>
    <n v="16.489999999999998"/>
    <n v="287.89999999999998"/>
    <n v="65"/>
    <n v="12.96"/>
    <x v="68"/>
    <x v="2"/>
    <x v="68"/>
    <x v="2"/>
    <x v="0"/>
  </r>
  <r>
    <s v="WY"/>
    <x v="145"/>
    <s v="area_code_510"/>
    <x v="1"/>
    <x v="1"/>
    <n v="0"/>
    <n v="274"/>
    <n v="75"/>
    <n v="46.58"/>
    <n v="162.80000000000001"/>
    <n v="110"/>
    <n v="13.84"/>
    <n v="110"/>
    <n v="121"/>
    <n v="4.95"/>
    <x v="18"/>
    <x v="0"/>
    <x v="18"/>
    <x v="4"/>
    <x v="0"/>
  </r>
  <r>
    <s v="DC"/>
    <x v="155"/>
    <s v="area_code_415"/>
    <x v="0"/>
    <x v="1"/>
    <n v="0"/>
    <n v="111.7"/>
    <n v="86"/>
    <n v="18.989999999999998"/>
    <n v="187.5"/>
    <n v="68"/>
    <n v="15.94"/>
    <n v="194.8"/>
    <n v="128"/>
    <n v="8.77"/>
    <x v="43"/>
    <x v="11"/>
    <x v="43"/>
    <x v="2"/>
    <x v="0"/>
  </r>
  <r>
    <s v="RI"/>
    <x v="13"/>
    <s v="area_code_408"/>
    <x v="0"/>
    <x v="1"/>
    <n v="0"/>
    <n v="142.69999999999999"/>
    <n v="82"/>
    <n v="24.26"/>
    <n v="179.1"/>
    <n v="106"/>
    <n v="15.22"/>
    <n v="141.4"/>
    <n v="88"/>
    <n v="6.36"/>
    <x v="105"/>
    <x v="10"/>
    <x v="105"/>
    <x v="3"/>
    <x v="0"/>
  </r>
  <r>
    <s v="VA"/>
    <x v="165"/>
    <s v="area_code_415"/>
    <x v="0"/>
    <x v="1"/>
    <n v="0"/>
    <n v="216.7"/>
    <n v="91"/>
    <n v="36.840000000000003"/>
    <n v="233.9"/>
    <n v="104"/>
    <n v="19.88"/>
    <n v="231.1"/>
    <n v="110"/>
    <n v="10.4"/>
    <x v="62"/>
    <x v="4"/>
    <x v="62"/>
    <x v="0"/>
    <x v="0"/>
  </r>
  <r>
    <s v="MA"/>
    <x v="139"/>
    <s v="area_code_415"/>
    <x v="0"/>
    <x v="1"/>
    <n v="0"/>
    <n v="207.1"/>
    <n v="106"/>
    <n v="35.21"/>
    <n v="283.5"/>
    <n v="124"/>
    <n v="24.1"/>
    <n v="65.2"/>
    <n v="107"/>
    <n v="2.93"/>
    <x v="26"/>
    <x v="5"/>
    <x v="26"/>
    <x v="3"/>
    <x v="0"/>
  </r>
  <r>
    <s v="MT"/>
    <x v="117"/>
    <s v="area_code_415"/>
    <x v="0"/>
    <x v="1"/>
    <n v="0"/>
    <n v="214.8"/>
    <n v="86"/>
    <n v="36.520000000000003"/>
    <n v="230.9"/>
    <n v="94"/>
    <n v="19.63"/>
    <n v="223.8"/>
    <n v="100"/>
    <n v="10.07"/>
    <x v="41"/>
    <x v="0"/>
    <x v="41"/>
    <x v="3"/>
    <x v="0"/>
  </r>
  <r>
    <s v="WA"/>
    <x v="156"/>
    <s v="area_code_415"/>
    <x v="0"/>
    <x v="1"/>
    <n v="0"/>
    <n v="142.9"/>
    <n v="67"/>
    <n v="24.29"/>
    <n v="109.7"/>
    <n v="72"/>
    <n v="9.32"/>
    <n v="293.60000000000002"/>
    <n v="112"/>
    <n v="13.21"/>
    <x v="73"/>
    <x v="3"/>
    <x v="73"/>
    <x v="1"/>
    <x v="0"/>
  </r>
  <r>
    <s v="TN"/>
    <x v="26"/>
    <s v="area_code_415"/>
    <x v="1"/>
    <x v="1"/>
    <n v="0"/>
    <n v="71.5"/>
    <n v="126"/>
    <n v="12.16"/>
    <n v="166.8"/>
    <n v="127"/>
    <n v="14.18"/>
    <n v="211.6"/>
    <n v="86"/>
    <n v="9.52"/>
    <x v="24"/>
    <x v="5"/>
    <x v="24"/>
    <x v="3"/>
    <x v="1"/>
  </r>
  <r>
    <s v="ND"/>
    <x v="98"/>
    <s v="area_code_415"/>
    <x v="0"/>
    <x v="1"/>
    <n v="0"/>
    <n v="77.599999999999994"/>
    <n v="113"/>
    <n v="13.19"/>
    <n v="126.9"/>
    <n v="75"/>
    <n v="10.79"/>
    <n v="191"/>
    <n v="79"/>
    <n v="8.59"/>
    <x v="130"/>
    <x v="4"/>
    <x v="130"/>
    <x v="0"/>
    <x v="0"/>
  </r>
  <r>
    <s v="ME"/>
    <x v="115"/>
    <s v="area_code_510"/>
    <x v="0"/>
    <x v="1"/>
    <n v="0"/>
    <n v="73.7"/>
    <n v="66"/>
    <n v="12.53"/>
    <n v="160.5"/>
    <n v="132"/>
    <n v="13.64"/>
    <n v="214.2"/>
    <n v="67"/>
    <n v="9.64"/>
    <x v="14"/>
    <x v="3"/>
    <x v="14"/>
    <x v="3"/>
    <x v="0"/>
  </r>
  <r>
    <s v="CO"/>
    <x v="7"/>
    <s v="area_code_408"/>
    <x v="0"/>
    <x v="1"/>
    <n v="0"/>
    <n v="264.3"/>
    <n v="90"/>
    <n v="44.93"/>
    <n v="216.4"/>
    <n v="101"/>
    <n v="18.39"/>
    <n v="208.8"/>
    <n v="72"/>
    <n v="9.4"/>
    <x v="63"/>
    <x v="0"/>
    <x v="63"/>
    <x v="1"/>
    <x v="1"/>
  </r>
  <r>
    <s v="DC"/>
    <x v="50"/>
    <s v="area_code_510"/>
    <x v="1"/>
    <x v="1"/>
    <n v="0"/>
    <n v="114.8"/>
    <n v="156"/>
    <n v="19.52"/>
    <n v="135.30000000000001"/>
    <n v="78"/>
    <n v="11.5"/>
    <n v="218.4"/>
    <n v="98"/>
    <n v="9.83"/>
    <x v="95"/>
    <x v="4"/>
    <x v="95"/>
    <x v="0"/>
    <x v="1"/>
  </r>
  <r>
    <s v="UT"/>
    <x v="14"/>
    <s v="area_code_415"/>
    <x v="0"/>
    <x v="1"/>
    <n v="0"/>
    <n v="212.5"/>
    <n v="124"/>
    <n v="36.130000000000003"/>
    <n v="215.5"/>
    <n v="110"/>
    <n v="18.32"/>
    <n v="128"/>
    <n v="94"/>
    <n v="5.76"/>
    <x v="133"/>
    <x v="6"/>
    <x v="133"/>
    <x v="3"/>
    <x v="0"/>
  </r>
  <r>
    <s v="ID"/>
    <x v="135"/>
    <s v="area_code_510"/>
    <x v="0"/>
    <x v="0"/>
    <n v="36"/>
    <n v="288.2"/>
    <n v="120"/>
    <n v="48.99"/>
    <n v="227.1"/>
    <n v="105"/>
    <n v="19.3"/>
    <n v="198.2"/>
    <n v="113"/>
    <n v="8.92"/>
    <x v="64"/>
    <x v="2"/>
    <x v="64"/>
    <x v="0"/>
    <x v="0"/>
  </r>
  <r>
    <s v="UT"/>
    <x v="103"/>
    <s v="area_code_415"/>
    <x v="0"/>
    <x v="1"/>
    <n v="0"/>
    <n v="192.4"/>
    <n v="98"/>
    <n v="32.71"/>
    <n v="187"/>
    <n v="93"/>
    <n v="15.9"/>
    <n v="132.9"/>
    <n v="82"/>
    <n v="5.98"/>
    <x v="7"/>
    <x v="8"/>
    <x v="7"/>
    <x v="1"/>
    <x v="0"/>
  </r>
  <r>
    <s v="MD"/>
    <x v="83"/>
    <s v="area_code_415"/>
    <x v="0"/>
    <x v="1"/>
    <n v="0"/>
    <n v="102.2"/>
    <n v="76"/>
    <n v="17.37"/>
    <n v="230"/>
    <n v="106"/>
    <n v="19.55"/>
    <n v="183.4"/>
    <n v="136"/>
    <n v="8.25"/>
    <x v="81"/>
    <x v="4"/>
    <x v="81"/>
    <x v="0"/>
    <x v="0"/>
  </r>
  <r>
    <s v="VT"/>
    <x v="66"/>
    <s v="area_code_415"/>
    <x v="1"/>
    <x v="1"/>
    <n v="0"/>
    <n v="49.5"/>
    <n v="114"/>
    <n v="8.42"/>
    <n v="214.1"/>
    <n v="98"/>
    <n v="18.2"/>
    <n v="154.9"/>
    <n v="120"/>
    <n v="6.97"/>
    <x v="13"/>
    <x v="4"/>
    <x v="13"/>
    <x v="1"/>
    <x v="0"/>
  </r>
  <r>
    <s v="FL"/>
    <x v="75"/>
    <s v="area_code_415"/>
    <x v="0"/>
    <x v="1"/>
    <n v="0"/>
    <n v="153.19999999999999"/>
    <n v="70"/>
    <n v="26.04"/>
    <n v="231.7"/>
    <n v="91"/>
    <n v="19.690000000000001"/>
    <n v="115.1"/>
    <n v="80"/>
    <n v="5.18"/>
    <x v="52"/>
    <x v="0"/>
    <x v="52"/>
    <x v="4"/>
    <x v="1"/>
  </r>
  <r>
    <s v="NH"/>
    <x v="100"/>
    <s v="area_code_415"/>
    <x v="0"/>
    <x v="1"/>
    <n v="0"/>
    <n v="55.5"/>
    <n v="79"/>
    <n v="9.44"/>
    <n v="163.5"/>
    <n v="104"/>
    <n v="13.9"/>
    <n v="128.1"/>
    <n v="59"/>
    <n v="5.76"/>
    <x v="3"/>
    <x v="4"/>
    <x v="3"/>
    <x v="0"/>
    <x v="0"/>
  </r>
  <r>
    <s v="IL"/>
    <x v="29"/>
    <s v="area_code_415"/>
    <x v="0"/>
    <x v="1"/>
    <n v="0"/>
    <n v="247.2"/>
    <n v="61"/>
    <n v="42.02"/>
    <n v="168.7"/>
    <n v="122"/>
    <n v="14.34"/>
    <n v="169.8"/>
    <n v="100"/>
    <n v="7.64"/>
    <x v="2"/>
    <x v="8"/>
    <x v="2"/>
    <x v="1"/>
    <x v="0"/>
  </r>
  <r>
    <s v="KS"/>
    <x v="131"/>
    <s v="area_code_415"/>
    <x v="0"/>
    <x v="1"/>
    <n v="0"/>
    <n v="220.2"/>
    <n v="117"/>
    <n v="37.43"/>
    <n v="261.10000000000002"/>
    <n v="102"/>
    <n v="22.19"/>
    <n v="165.9"/>
    <n v="132"/>
    <n v="7.47"/>
    <x v="81"/>
    <x v="8"/>
    <x v="81"/>
    <x v="2"/>
    <x v="0"/>
  </r>
  <r>
    <s v="WV"/>
    <x v="13"/>
    <s v="area_code_415"/>
    <x v="0"/>
    <x v="1"/>
    <n v="0"/>
    <n v="116.9"/>
    <n v="75"/>
    <n v="19.87"/>
    <n v="183.3"/>
    <n v="109"/>
    <n v="15.58"/>
    <n v="307.39999999999998"/>
    <n v="119"/>
    <n v="13.83"/>
    <x v="13"/>
    <x v="10"/>
    <x v="13"/>
    <x v="2"/>
    <x v="0"/>
  </r>
  <r>
    <s v="ID"/>
    <x v="41"/>
    <s v="area_code_408"/>
    <x v="0"/>
    <x v="1"/>
    <n v="0"/>
    <n v="175.9"/>
    <n v="98"/>
    <n v="29.9"/>
    <n v="192.8"/>
    <n v="148"/>
    <n v="16.39"/>
    <n v="278.2"/>
    <n v="110"/>
    <n v="12.52"/>
    <x v="15"/>
    <x v="1"/>
    <x v="15"/>
    <x v="1"/>
    <x v="0"/>
  </r>
  <r>
    <s v="ME"/>
    <x v="93"/>
    <s v="area_code_415"/>
    <x v="0"/>
    <x v="1"/>
    <n v="0"/>
    <n v="208"/>
    <n v="95"/>
    <n v="35.36"/>
    <n v="234.8"/>
    <n v="81"/>
    <n v="19.96"/>
    <n v="266"/>
    <n v="80"/>
    <n v="11.97"/>
    <x v="50"/>
    <x v="3"/>
    <x v="50"/>
    <x v="3"/>
    <x v="0"/>
  </r>
  <r>
    <s v="MA"/>
    <x v="72"/>
    <s v="area_code_415"/>
    <x v="0"/>
    <x v="0"/>
    <n v="28"/>
    <n v="239.9"/>
    <n v="110"/>
    <n v="40.78"/>
    <n v="218.9"/>
    <n v="87"/>
    <n v="18.61"/>
    <n v="166"/>
    <n v="46"/>
    <n v="7.47"/>
    <x v="47"/>
    <x v="4"/>
    <x v="47"/>
    <x v="0"/>
    <x v="0"/>
  </r>
  <r>
    <s v="OR"/>
    <x v="29"/>
    <s v="area_code_408"/>
    <x v="1"/>
    <x v="1"/>
    <n v="0"/>
    <n v="174.8"/>
    <n v="112"/>
    <n v="29.72"/>
    <n v="218"/>
    <n v="125"/>
    <n v="18.53"/>
    <n v="180.1"/>
    <n v="102"/>
    <n v="8.1"/>
    <x v="8"/>
    <x v="3"/>
    <x v="8"/>
    <x v="3"/>
    <x v="0"/>
  </r>
  <r>
    <s v="WV"/>
    <x v="47"/>
    <s v="area_code_510"/>
    <x v="0"/>
    <x v="0"/>
    <n v="26"/>
    <n v="141.5"/>
    <n v="94"/>
    <n v="24.06"/>
    <n v="196.4"/>
    <n v="123"/>
    <n v="16.690000000000001"/>
    <n v="172.4"/>
    <n v="100"/>
    <n v="7.76"/>
    <x v="89"/>
    <x v="8"/>
    <x v="89"/>
    <x v="3"/>
    <x v="0"/>
  </r>
  <r>
    <s v="MO"/>
    <x v="64"/>
    <s v="area_code_415"/>
    <x v="0"/>
    <x v="1"/>
    <n v="0"/>
    <n v="79.2"/>
    <n v="123"/>
    <n v="13.46"/>
    <n v="212.1"/>
    <n v="106"/>
    <n v="18.03"/>
    <n v="224.6"/>
    <n v="104"/>
    <n v="10.11"/>
    <x v="39"/>
    <x v="4"/>
    <x v="39"/>
    <x v="3"/>
    <x v="0"/>
  </r>
  <r>
    <s v="WY"/>
    <x v="86"/>
    <s v="area_code_415"/>
    <x v="0"/>
    <x v="1"/>
    <n v="0"/>
    <n v="238.9"/>
    <n v="102"/>
    <n v="40.61"/>
    <n v="161.4"/>
    <n v="115"/>
    <n v="13.72"/>
    <n v="248.5"/>
    <n v="103"/>
    <n v="11.18"/>
    <x v="83"/>
    <x v="4"/>
    <x v="83"/>
    <x v="1"/>
    <x v="0"/>
  </r>
  <r>
    <s v="WV"/>
    <x v="31"/>
    <s v="area_code_408"/>
    <x v="0"/>
    <x v="0"/>
    <n v="37"/>
    <n v="179.8"/>
    <n v="104"/>
    <n v="30.57"/>
    <n v="144.80000000000001"/>
    <n v="115"/>
    <n v="12.31"/>
    <n v="209.1"/>
    <n v="89"/>
    <n v="9.41"/>
    <x v="22"/>
    <x v="10"/>
    <x v="22"/>
    <x v="3"/>
    <x v="0"/>
  </r>
  <r>
    <s v="UT"/>
    <x v="93"/>
    <s v="area_code_510"/>
    <x v="0"/>
    <x v="1"/>
    <n v="0"/>
    <n v="225.9"/>
    <n v="78"/>
    <n v="38.4"/>
    <n v="243.1"/>
    <n v="83"/>
    <n v="20.66"/>
    <n v="84.1"/>
    <n v="94"/>
    <n v="3.78"/>
    <x v="88"/>
    <x v="5"/>
    <x v="88"/>
    <x v="2"/>
    <x v="1"/>
  </r>
  <r>
    <s v="KY"/>
    <x v="28"/>
    <s v="area_code_415"/>
    <x v="0"/>
    <x v="1"/>
    <n v="0"/>
    <n v="189.8"/>
    <n v="113"/>
    <n v="32.270000000000003"/>
    <n v="271.5"/>
    <n v="111"/>
    <n v="23.08"/>
    <n v="218.9"/>
    <n v="96"/>
    <n v="9.85"/>
    <x v="14"/>
    <x v="1"/>
    <x v="14"/>
    <x v="0"/>
    <x v="0"/>
  </r>
  <r>
    <s v="OK"/>
    <x v="78"/>
    <s v="area_code_510"/>
    <x v="0"/>
    <x v="1"/>
    <n v="0"/>
    <n v="267"/>
    <n v="97"/>
    <n v="45.39"/>
    <n v="204.3"/>
    <n v="151"/>
    <n v="17.37"/>
    <n v="246.9"/>
    <n v="67"/>
    <n v="11.11"/>
    <x v="61"/>
    <x v="2"/>
    <x v="61"/>
    <x v="0"/>
    <x v="1"/>
  </r>
  <r>
    <s v="TN"/>
    <x v="4"/>
    <s v="area_code_415"/>
    <x v="0"/>
    <x v="1"/>
    <n v="0"/>
    <n v="217.3"/>
    <n v="79"/>
    <n v="36.94"/>
    <n v="218"/>
    <n v="106"/>
    <n v="18.53"/>
    <n v="166.5"/>
    <n v="69"/>
    <n v="7.49"/>
    <x v="73"/>
    <x v="2"/>
    <x v="73"/>
    <x v="0"/>
    <x v="0"/>
  </r>
  <r>
    <s v="GA"/>
    <x v="18"/>
    <s v="area_code_415"/>
    <x v="0"/>
    <x v="1"/>
    <n v="0"/>
    <n v="129.1"/>
    <n v="92"/>
    <n v="21.95"/>
    <n v="148.9"/>
    <n v="132"/>
    <n v="12.66"/>
    <n v="264"/>
    <n v="103"/>
    <n v="11.88"/>
    <x v="161"/>
    <x v="2"/>
    <x v="161"/>
    <x v="2"/>
    <x v="0"/>
  </r>
  <r>
    <s v="NE"/>
    <x v="76"/>
    <s v="area_code_408"/>
    <x v="0"/>
    <x v="1"/>
    <n v="0"/>
    <n v="135.5"/>
    <n v="110"/>
    <n v="23.04"/>
    <n v="146"/>
    <n v="116"/>
    <n v="12.41"/>
    <n v="208"/>
    <n v="88"/>
    <n v="9.36"/>
    <x v="85"/>
    <x v="4"/>
    <x v="85"/>
    <x v="2"/>
    <x v="0"/>
  </r>
  <r>
    <s v="WA"/>
    <x v="8"/>
    <s v="area_code_510"/>
    <x v="0"/>
    <x v="1"/>
    <n v="0"/>
    <n v="183.4"/>
    <n v="63"/>
    <n v="31.18"/>
    <n v="183.6"/>
    <n v="80"/>
    <n v="15.61"/>
    <n v="153.5"/>
    <n v="83"/>
    <n v="6.91"/>
    <x v="85"/>
    <x v="4"/>
    <x v="85"/>
    <x v="4"/>
    <x v="1"/>
  </r>
  <r>
    <s v="MO"/>
    <x v="112"/>
    <s v="area_code_510"/>
    <x v="0"/>
    <x v="1"/>
    <n v="0"/>
    <n v="223"/>
    <n v="109"/>
    <n v="37.909999999999997"/>
    <n v="286.2"/>
    <n v="76"/>
    <n v="24.33"/>
    <n v="257.8"/>
    <n v="132"/>
    <n v="11.6"/>
    <x v="4"/>
    <x v="2"/>
    <x v="4"/>
    <x v="3"/>
    <x v="1"/>
  </r>
  <r>
    <s v="ME"/>
    <x v="115"/>
    <s v="area_code_510"/>
    <x v="0"/>
    <x v="1"/>
    <n v="0"/>
    <n v="140"/>
    <n v="135"/>
    <n v="23.8"/>
    <n v="138.9"/>
    <n v="103"/>
    <n v="11.81"/>
    <n v="230.2"/>
    <n v="121"/>
    <n v="10.36"/>
    <x v="49"/>
    <x v="3"/>
    <x v="49"/>
    <x v="1"/>
    <x v="0"/>
  </r>
  <r>
    <s v="WI"/>
    <x v="48"/>
    <s v="area_code_415"/>
    <x v="0"/>
    <x v="1"/>
    <n v="0"/>
    <n v="126"/>
    <n v="90"/>
    <n v="21.42"/>
    <n v="205.8"/>
    <n v="92"/>
    <n v="17.489999999999998"/>
    <n v="217"/>
    <n v="121"/>
    <n v="9.76"/>
    <x v="75"/>
    <x v="8"/>
    <x v="75"/>
    <x v="1"/>
    <x v="0"/>
  </r>
  <r>
    <s v="NC"/>
    <x v="49"/>
    <s v="area_code_415"/>
    <x v="0"/>
    <x v="1"/>
    <n v="0"/>
    <n v="228.2"/>
    <n v="68"/>
    <n v="38.79"/>
    <n v="170.2"/>
    <n v="102"/>
    <n v="14.47"/>
    <n v="168.9"/>
    <n v="72"/>
    <n v="7.6"/>
    <x v="39"/>
    <x v="3"/>
    <x v="39"/>
    <x v="0"/>
    <x v="0"/>
  </r>
  <r>
    <s v="OK"/>
    <x v="78"/>
    <s v="area_code_415"/>
    <x v="0"/>
    <x v="1"/>
    <n v="0"/>
    <n v="278.39999999999998"/>
    <n v="121"/>
    <n v="47.33"/>
    <n v="252.2"/>
    <n v="139"/>
    <n v="21.44"/>
    <n v="202.3"/>
    <n v="96"/>
    <n v="9.1"/>
    <x v="0"/>
    <x v="8"/>
    <x v="0"/>
    <x v="0"/>
    <x v="1"/>
  </r>
  <r>
    <s v="MA"/>
    <x v="130"/>
    <s v="area_code_415"/>
    <x v="0"/>
    <x v="1"/>
    <n v="0"/>
    <n v="285.3"/>
    <n v="75"/>
    <n v="48.5"/>
    <n v="130.80000000000001"/>
    <n v="111"/>
    <n v="11.12"/>
    <n v="181.8"/>
    <n v="99"/>
    <n v="8.18"/>
    <x v="26"/>
    <x v="5"/>
    <x v="26"/>
    <x v="2"/>
    <x v="0"/>
  </r>
  <r>
    <s v="MN"/>
    <x v="80"/>
    <s v="area_code_415"/>
    <x v="0"/>
    <x v="1"/>
    <n v="0"/>
    <n v="222.9"/>
    <n v="100"/>
    <n v="37.89"/>
    <n v="145.19999999999999"/>
    <n v="110"/>
    <n v="12.34"/>
    <n v="170.6"/>
    <n v="129"/>
    <n v="7.68"/>
    <x v="113"/>
    <x v="10"/>
    <x v="113"/>
    <x v="0"/>
    <x v="0"/>
  </r>
  <r>
    <s v="ND"/>
    <x v="80"/>
    <s v="area_code_510"/>
    <x v="0"/>
    <x v="0"/>
    <n v="37"/>
    <n v="153.69999999999999"/>
    <n v="97"/>
    <n v="26.13"/>
    <n v="271.39999999999998"/>
    <n v="91"/>
    <n v="23.07"/>
    <n v="179"/>
    <n v="121"/>
    <n v="8.06"/>
    <x v="24"/>
    <x v="5"/>
    <x v="24"/>
    <x v="0"/>
    <x v="0"/>
  </r>
  <r>
    <s v="AZ"/>
    <x v="61"/>
    <s v="area_code_415"/>
    <x v="1"/>
    <x v="1"/>
    <n v="0"/>
    <n v="176.1"/>
    <n v="88"/>
    <n v="29.94"/>
    <n v="244.5"/>
    <n v="84"/>
    <n v="20.78"/>
    <n v="189.9"/>
    <n v="99"/>
    <n v="8.5500000000000007"/>
    <x v="7"/>
    <x v="8"/>
    <x v="7"/>
    <x v="2"/>
    <x v="1"/>
  </r>
  <r>
    <s v="SC"/>
    <x v="108"/>
    <s v="area_code_408"/>
    <x v="0"/>
    <x v="0"/>
    <n v="41"/>
    <n v="306.89999999999998"/>
    <n v="71"/>
    <n v="52.17"/>
    <n v="243.3"/>
    <n v="72"/>
    <n v="20.68"/>
    <n v="125.9"/>
    <n v="114"/>
    <n v="5.67"/>
    <x v="26"/>
    <x v="4"/>
    <x v="26"/>
    <x v="2"/>
    <x v="0"/>
  </r>
  <r>
    <s v="ME"/>
    <x v="48"/>
    <s v="area_code_408"/>
    <x v="0"/>
    <x v="1"/>
    <n v="0"/>
    <n v="203.4"/>
    <n v="85"/>
    <n v="34.58"/>
    <n v="219.8"/>
    <n v="140"/>
    <n v="18.68"/>
    <n v="240"/>
    <n v="107"/>
    <n v="10.8"/>
    <x v="24"/>
    <x v="1"/>
    <x v="24"/>
    <x v="0"/>
    <x v="0"/>
  </r>
  <r>
    <s v="MO"/>
    <x v="78"/>
    <s v="area_code_415"/>
    <x v="0"/>
    <x v="0"/>
    <n v="37"/>
    <n v="230.7"/>
    <n v="112"/>
    <n v="39.22"/>
    <n v="319.39999999999998"/>
    <n v="116"/>
    <n v="27.15"/>
    <n v="299.39999999999998"/>
    <n v="77"/>
    <n v="13.47"/>
    <x v="57"/>
    <x v="0"/>
    <x v="57"/>
    <x v="2"/>
    <x v="0"/>
  </r>
  <r>
    <s v="NJ"/>
    <x v="31"/>
    <s v="area_code_415"/>
    <x v="0"/>
    <x v="1"/>
    <n v="0"/>
    <n v="118.9"/>
    <n v="106"/>
    <n v="20.21"/>
    <n v="163.5"/>
    <n v="75"/>
    <n v="13.9"/>
    <n v="195"/>
    <n v="131"/>
    <n v="8.7799999999999994"/>
    <x v="67"/>
    <x v="4"/>
    <x v="67"/>
    <x v="1"/>
    <x v="0"/>
  </r>
  <r>
    <s v="WY"/>
    <x v="34"/>
    <s v="area_code_408"/>
    <x v="0"/>
    <x v="0"/>
    <n v="34"/>
    <n v="219.5"/>
    <n v="85"/>
    <n v="37.32"/>
    <n v="144"/>
    <n v="120"/>
    <n v="12.24"/>
    <n v="258.2"/>
    <n v="84"/>
    <n v="11.62"/>
    <x v="99"/>
    <x v="0"/>
    <x v="99"/>
    <x v="0"/>
    <x v="0"/>
  </r>
  <r>
    <s v="OK"/>
    <x v="15"/>
    <s v="area_code_415"/>
    <x v="1"/>
    <x v="0"/>
    <n v="34"/>
    <n v="252.9"/>
    <n v="103"/>
    <n v="42.99"/>
    <n v="220.1"/>
    <n v="79"/>
    <n v="18.71"/>
    <n v="144.9"/>
    <n v="65"/>
    <n v="6.52"/>
    <x v="37"/>
    <x v="0"/>
    <x v="37"/>
    <x v="1"/>
    <x v="0"/>
  </r>
  <r>
    <s v="PA"/>
    <x v="29"/>
    <s v="area_code_415"/>
    <x v="0"/>
    <x v="0"/>
    <n v="46"/>
    <n v="172.6"/>
    <n v="77"/>
    <n v="29.34"/>
    <n v="203.4"/>
    <n v="102"/>
    <n v="17.29"/>
    <n v="264.2"/>
    <n v="108"/>
    <n v="11.89"/>
    <x v="91"/>
    <x v="5"/>
    <x v="91"/>
    <x v="0"/>
    <x v="0"/>
  </r>
  <r>
    <s v="NM"/>
    <x v="186"/>
    <s v="area_code_415"/>
    <x v="0"/>
    <x v="1"/>
    <n v="0"/>
    <n v="262"/>
    <n v="112"/>
    <n v="44.54"/>
    <n v="82.7"/>
    <n v="60"/>
    <n v="7.03"/>
    <n v="195.1"/>
    <n v="120"/>
    <n v="8.7799999999999994"/>
    <x v="85"/>
    <x v="1"/>
    <x v="85"/>
    <x v="0"/>
    <x v="0"/>
  </r>
  <r>
    <s v="FL"/>
    <x v="124"/>
    <s v="area_code_415"/>
    <x v="0"/>
    <x v="1"/>
    <n v="0"/>
    <n v="123.3"/>
    <n v="115"/>
    <n v="20.96"/>
    <n v="130.4"/>
    <n v="91"/>
    <n v="11.08"/>
    <n v="243.7"/>
    <n v="119"/>
    <n v="10.97"/>
    <x v="7"/>
    <x v="0"/>
    <x v="7"/>
    <x v="3"/>
    <x v="0"/>
  </r>
  <r>
    <s v="NV"/>
    <x v="130"/>
    <s v="area_code_415"/>
    <x v="0"/>
    <x v="1"/>
    <n v="0"/>
    <n v="210.9"/>
    <n v="90"/>
    <n v="35.85"/>
    <n v="272.2"/>
    <n v="101"/>
    <n v="23.14"/>
    <n v="304.3"/>
    <n v="86"/>
    <n v="13.69"/>
    <x v="15"/>
    <x v="1"/>
    <x v="15"/>
    <x v="3"/>
    <x v="1"/>
  </r>
  <r>
    <s v="SD"/>
    <x v="9"/>
    <s v="area_code_510"/>
    <x v="0"/>
    <x v="1"/>
    <n v="0"/>
    <n v="143.69999999999999"/>
    <n v="97"/>
    <n v="24.43"/>
    <n v="229.6"/>
    <n v="110"/>
    <n v="19.52"/>
    <n v="98.8"/>
    <n v="100"/>
    <n v="4.45"/>
    <x v="23"/>
    <x v="1"/>
    <x v="23"/>
    <x v="0"/>
    <x v="0"/>
  </r>
  <r>
    <s v="OR"/>
    <x v="159"/>
    <s v="area_code_415"/>
    <x v="0"/>
    <x v="1"/>
    <n v="0"/>
    <n v="171.2"/>
    <n v="90"/>
    <n v="29.1"/>
    <n v="173.9"/>
    <n v="65"/>
    <n v="14.78"/>
    <n v="210.5"/>
    <n v="139"/>
    <n v="9.4700000000000006"/>
    <x v="100"/>
    <x v="4"/>
    <x v="100"/>
    <x v="2"/>
    <x v="0"/>
  </r>
  <r>
    <s v="TN"/>
    <x v="107"/>
    <s v="area_code_415"/>
    <x v="1"/>
    <x v="1"/>
    <n v="0"/>
    <n v="189.6"/>
    <n v="96"/>
    <n v="32.229999999999997"/>
    <n v="171.7"/>
    <n v="69"/>
    <n v="14.59"/>
    <n v="222"/>
    <n v="102"/>
    <n v="9.99"/>
    <x v="55"/>
    <x v="2"/>
    <x v="55"/>
    <x v="0"/>
    <x v="1"/>
  </r>
  <r>
    <s v="VA"/>
    <x v="37"/>
    <s v="area_code_415"/>
    <x v="0"/>
    <x v="1"/>
    <n v="0"/>
    <n v="229.5"/>
    <n v="91"/>
    <n v="39.020000000000003"/>
    <n v="157.69999999999999"/>
    <n v="67"/>
    <n v="13.4"/>
    <n v="162.4"/>
    <n v="76"/>
    <n v="7.31"/>
    <x v="32"/>
    <x v="0"/>
    <x v="32"/>
    <x v="2"/>
    <x v="0"/>
  </r>
  <r>
    <s v="ME"/>
    <x v="184"/>
    <s v="area_code_408"/>
    <x v="0"/>
    <x v="1"/>
    <n v="0"/>
    <n v="128.6"/>
    <n v="108"/>
    <n v="21.86"/>
    <n v="248.3"/>
    <n v="92"/>
    <n v="21.11"/>
    <n v="130.1"/>
    <n v="115"/>
    <n v="5.85"/>
    <x v="91"/>
    <x v="5"/>
    <x v="91"/>
    <x v="4"/>
    <x v="1"/>
  </r>
  <r>
    <s v="FL"/>
    <x v="153"/>
    <s v="area_code_408"/>
    <x v="0"/>
    <x v="0"/>
    <n v="26"/>
    <n v="214.8"/>
    <n v="82"/>
    <n v="36.520000000000003"/>
    <n v="226.7"/>
    <n v="135"/>
    <n v="19.27"/>
    <n v="206.7"/>
    <n v="97"/>
    <n v="9.3000000000000007"/>
    <x v="98"/>
    <x v="12"/>
    <x v="98"/>
    <x v="0"/>
    <x v="0"/>
  </r>
  <r>
    <s v="RI"/>
    <x v="141"/>
    <s v="area_code_510"/>
    <x v="0"/>
    <x v="1"/>
    <n v="0"/>
    <n v="187.1"/>
    <n v="110"/>
    <n v="31.81"/>
    <n v="158"/>
    <n v="70"/>
    <n v="13.43"/>
    <n v="211.4"/>
    <n v="123"/>
    <n v="9.51"/>
    <x v="31"/>
    <x v="5"/>
    <x v="31"/>
    <x v="2"/>
    <x v="0"/>
  </r>
  <r>
    <s v="DC"/>
    <x v="60"/>
    <s v="area_code_415"/>
    <x v="0"/>
    <x v="0"/>
    <n v="31"/>
    <n v="209.3"/>
    <n v="90"/>
    <n v="35.58"/>
    <n v="281.7"/>
    <n v="111"/>
    <n v="23.94"/>
    <n v="190.1"/>
    <n v="66"/>
    <n v="8.5500000000000007"/>
    <x v="57"/>
    <x v="1"/>
    <x v="57"/>
    <x v="1"/>
    <x v="0"/>
  </r>
  <r>
    <s v="AR"/>
    <x v="105"/>
    <s v="area_code_415"/>
    <x v="0"/>
    <x v="1"/>
    <n v="0"/>
    <n v="141.69999999999999"/>
    <n v="102"/>
    <n v="24.09"/>
    <n v="226.2"/>
    <n v="125"/>
    <n v="19.23"/>
    <n v="100.1"/>
    <n v="93"/>
    <n v="4.5"/>
    <x v="78"/>
    <x v="10"/>
    <x v="78"/>
    <x v="1"/>
    <x v="0"/>
  </r>
  <r>
    <s v="OR"/>
    <x v="95"/>
    <s v="area_code_408"/>
    <x v="0"/>
    <x v="0"/>
    <n v="22"/>
    <n v="173.6"/>
    <n v="66"/>
    <n v="29.51"/>
    <n v="142.19999999999999"/>
    <n v="83"/>
    <n v="12.09"/>
    <n v="156.5"/>
    <n v="93"/>
    <n v="7.04"/>
    <x v="133"/>
    <x v="0"/>
    <x v="133"/>
    <x v="0"/>
    <x v="0"/>
  </r>
  <r>
    <s v="SD"/>
    <x v="20"/>
    <s v="area_code_510"/>
    <x v="0"/>
    <x v="1"/>
    <n v="0"/>
    <n v="176.9"/>
    <n v="75"/>
    <n v="30.07"/>
    <n v="204.2"/>
    <n v="86"/>
    <n v="17.36"/>
    <n v="254.1"/>
    <n v="90"/>
    <n v="11.43"/>
    <x v="49"/>
    <x v="4"/>
    <x v="49"/>
    <x v="0"/>
    <x v="0"/>
  </r>
  <r>
    <s v="NC"/>
    <x v="147"/>
    <s v="area_code_408"/>
    <x v="0"/>
    <x v="0"/>
    <n v="27"/>
    <n v="109.8"/>
    <n v="66"/>
    <n v="18.670000000000002"/>
    <n v="207.3"/>
    <n v="76"/>
    <n v="17.62"/>
    <n v="236.9"/>
    <n v="101"/>
    <n v="10.66"/>
    <x v="19"/>
    <x v="2"/>
    <x v="19"/>
    <x v="1"/>
    <x v="0"/>
  </r>
  <r>
    <s v="OH"/>
    <x v="23"/>
    <s v="area_code_408"/>
    <x v="0"/>
    <x v="1"/>
    <n v="0"/>
    <n v="202.3"/>
    <n v="105"/>
    <n v="34.39"/>
    <n v="195.4"/>
    <n v="131"/>
    <n v="16.61"/>
    <n v="190.1"/>
    <n v="88"/>
    <n v="8.5500000000000007"/>
    <x v="62"/>
    <x v="5"/>
    <x v="62"/>
    <x v="3"/>
    <x v="1"/>
  </r>
  <r>
    <s v="IN"/>
    <x v="193"/>
    <s v="area_code_415"/>
    <x v="0"/>
    <x v="1"/>
    <n v="0"/>
    <n v="221.6"/>
    <n v="109"/>
    <n v="37.67"/>
    <n v="126.2"/>
    <n v="94"/>
    <n v="10.73"/>
    <n v="212.2"/>
    <n v="98"/>
    <n v="9.5500000000000007"/>
    <x v="69"/>
    <x v="5"/>
    <x v="69"/>
    <x v="1"/>
    <x v="0"/>
  </r>
  <r>
    <s v="MT"/>
    <x v="32"/>
    <s v="area_code_415"/>
    <x v="0"/>
    <x v="1"/>
    <n v="0"/>
    <n v="131.30000000000001"/>
    <n v="105"/>
    <n v="22.32"/>
    <n v="109.4"/>
    <n v="114"/>
    <n v="9.3000000000000007"/>
    <n v="246.2"/>
    <n v="125"/>
    <n v="11.08"/>
    <x v="8"/>
    <x v="4"/>
    <x v="8"/>
    <x v="4"/>
    <x v="1"/>
  </r>
  <r>
    <s v="SC"/>
    <x v="102"/>
    <s v="area_code_408"/>
    <x v="1"/>
    <x v="1"/>
    <n v="0"/>
    <n v="274"/>
    <n v="156"/>
    <n v="46.58"/>
    <n v="263"/>
    <n v="69"/>
    <n v="22.36"/>
    <n v="195.9"/>
    <n v="93"/>
    <n v="8.82"/>
    <x v="61"/>
    <x v="0"/>
    <x v="61"/>
    <x v="3"/>
    <x v="1"/>
  </r>
  <r>
    <s v="OR"/>
    <x v="40"/>
    <s v="area_code_415"/>
    <x v="0"/>
    <x v="0"/>
    <n v="33"/>
    <n v="200.3"/>
    <n v="103"/>
    <n v="34.049999999999997"/>
    <n v="216.9"/>
    <n v="96"/>
    <n v="18.440000000000001"/>
    <n v="249.8"/>
    <n v="100"/>
    <n v="11.24"/>
    <x v="121"/>
    <x v="4"/>
    <x v="121"/>
    <x v="0"/>
    <x v="0"/>
  </r>
  <r>
    <s v="GA"/>
    <x v="69"/>
    <s v="area_code_408"/>
    <x v="0"/>
    <x v="1"/>
    <n v="0"/>
    <n v="204"/>
    <n v="119"/>
    <n v="34.68"/>
    <n v="161.69999999999999"/>
    <n v="90"/>
    <n v="13.74"/>
    <n v="202.6"/>
    <n v="113"/>
    <n v="9.1199999999999992"/>
    <x v="27"/>
    <x v="4"/>
    <x v="27"/>
    <x v="3"/>
    <x v="0"/>
  </r>
  <r>
    <s v="MI"/>
    <x v="49"/>
    <s v="area_code_415"/>
    <x v="0"/>
    <x v="1"/>
    <n v="0"/>
    <n v="193.1"/>
    <n v="114"/>
    <n v="32.83"/>
    <n v="75.5"/>
    <n v="61"/>
    <n v="6.42"/>
    <n v="186.2"/>
    <n v="73"/>
    <n v="8.3800000000000008"/>
    <x v="22"/>
    <x v="8"/>
    <x v="22"/>
    <x v="3"/>
    <x v="0"/>
  </r>
  <r>
    <s v="OR"/>
    <x v="160"/>
    <s v="area_code_415"/>
    <x v="0"/>
    <x v="1"/>
    <n v="0"/>
    <n v="202.2"/>
    <n v="132"/>
    <n v="34.369999999999997"/>
    <n v="158.9"/>
    <n v="78"/>
    <n v="13.51"/>
    <n v="111.4"/>
    <n v="98"/>
    <n v="5.01"/>
    <x v="53"/>
    <x v="4"/>
    <x v="53"/>
    <x v="2"/>
    <x v="0"/>
  </r>
  <r>
    <s v="OR"/>
    <x v="93"/>
    <s v="area_code_415"/>
    <x v="0"/>
    <x v="1"/>
    <n v="0"/>
    <n v="245.1"/>
    <n v="118"/>
    <n v="41.67"/>
    <n v="185.2"/>
    <n v="94"/>
    <n v="15.74"/>
    <n v="193.6"/>
    <n v="112"/>
    <n v="8.7100000000000009"/>
    <x v="111"/>
    <x v="0"/>
    <x v="111"/>
    <x v="3"/>
    <x v="0"/>
  </r>
  <r>
    <s v="MA"/>
    <x v="8"/>
    <s v="area_code_408"/>
    <x v="0"/>
    <x v="1"/>
    <n v="0"/>
    <n v="158.30000000000001"/>
    <n v="71"/>
    <n v="26.91"/>
    <n v="168.3"/>
    <n v="119"/>
    <n v="14.31"/>
    <n v="139.9"/>
    <n v="119"/>
    <n v="6.3"/>
    <x v="2"/>
    <x v="3"/>
    <x v="2"/>
    <x v="2"/>
    <x v="0"/>
  </r>
  <r>
    <s v="IA"/>
    <x v="138"/>
    <s v="area_code_408"/>
    <x v="0"/>
    <x v="1"/>
    <n v="0"/>
    <n v="138.1"/>
    <n v="79"/>
    <n v="23.48"/>
    <n v="186.9"/>
    <n v="75"/>
    <n v="15.89"/>
    <n v="194.2"/>
    <n v="105"/>
    <n v="8.74"/>
    <x v="47"/>
    <x v="8"/>
    <x v="47"/>
    <x v="1"/>
    <x v="0"/>
  </r>
  <r>
    <s v="VA"/>
    <x v="145"/>
    <s v="area_code_510"/>
    <x v="0"/>
    <x v="1"/>
    <n v="0"/>
    <n v="212.7"/>
    <n v="92"/>
    <n v="36.159999999999997"/>
    <n v="306.39999999999998"/>
    <n v="100"/>
    <n v="26.04"/>
    <n v="140.30000000000001"/>
    <n v="90"/>
    <n v="6.31"/>
    <x v="89"/>
    <x v="3"/>
    <x v="89"/>
    <x v="1"/>
    <x v="0"/>
  </r>
  <r>
    <s v="WV"/>
    <x v="165"/>
    <s v="area_code_510"/>
    <x v="0"/>
    <x v="1"/>
    <n v="0"/>
    <n v="304.2"/>
    <n v="111"/>
    <n v="51.71"/>
    <n v="306.60000000000002"/>
    <n v="64"/>
    <n v="26.06"/>
    <n v="207.9"/>
    <n v="98"/>
    <n v="9.36"/>
    <x v="17"/>
    <x v="5"/>
    <x v="17"/>
    <x v="6"/>
    <x v="1"/>
  </r>
  <r>
    <s v="TX"/>
    <x v="50"/>
    <s v="area_code_408"/>
    <x v="0"/>
    <x v="0"/>
    <n v="24"/>
    <n v="212.4"/>
    <n v="157"/>
    <n v="36.11"/>
    <n v="168.7"/>
    <n v="91"/>
    <n v="14.34"/>
    <n v="199.4"/>
    <n v="112"/>
    <n v="8.9700000000000006"/>
    <x v="84"/>
    <x v="8"/>
    <x v="84"/>
    <x v="2"/>
    <x v="0"/>
  </r>
  <r>
    <s v="IL"/>
    <x v="65"/>
    <s v="area_code_510"/>
    <x v="1"/>
    <x v="1"/>
    <n v="0"/>
    <n v="137.30000000000001"/>
    <n v="68"/>
    <n v="23.34"/>
    <n v="143.80000000000001"/>
    <n v="94"/>
    <n v="12.22"/>
    <n v="238.7"/>
    <n v="101"/>
    <n v="10.74"/>
    <x v="56"/>
    <x v="8"/>
    <x v="56"/>
    <x v="0"/>
    <x v="1"/>
  </r>
  <r>
    <s v="RI"/>
    <x v="131"/>
    <s v="area_code_510"/>
    <x v="0"/>
    <x v="0"/>
    <n v="10"/>
    <n v="161.4"/>
    <n v="91"/>
    <n v="27.44"/>
    <n v="183.1"/>
    <n v="102"/>
    <n v="15.56"/>
    <n v="240.3"/>
    <n v="65"/>
    <n v="10.81"/>
    <x v="89"/>
    <x v="0"/>
    <x v="89"/>
    <x v="0"/>
    <x v="0"/>
  </r>
  <r>
    <s v="WA"/>
    <x v="15"/>
    <s v="area_code_510"/>
    <x v="1"/>
    <x v="1"/>
    <n v="0"/>
    <n v="202.9"/>
    <n v="108"/>
    <n v="34.49"/>
    <n v="285.89999999999998"/>
    <n v="121"/>
    <n v="24.3"/>
    <n v="219"/>
    <n v="102"/>
    <n v="9.86"/>
    <x v="75"/>
    <x v="1"/>
    <x v="75"/>
    <x v="0"/>
    <x v="0"/>
  </r>
  <r>
    <s v="DE"/>
    <x v="53"/>
    <s v="area_code_415"/>
    <x v="0"/>
    <x v="1"/>
    <n v="0"/>
    <n v="272.2"/>
    <n v="75"/>
    <n v="46.27"/>
    <n v="122.9"/>
    <n v="96"/>
    <n v="10.45"/>
    <n v="252.6"/>
    <n v="100"/>
    <n v="11.37"/>
    <x v="29"/>
    <x v="5"/>
    <x v="29"/>
    <x v="1"/>
    <x v="0"/>
  </r>
  <r>
    <s v="NV"/>
    <x v="102"/>
    <s v="area_code_408"/>
    <x v="0"/>
    <x v="1"/>
    <n v="0"/>
    <n v="98.2"/>
    <n v="103"/>
    <n v="16.690000000000001"/>
    <n v="140.30000000000001"/>
    <n v="91"/>
    <n v="11.93"/>
    <n v="140.19999999999999"/>
    <n v="106"/>
    <n v="6.31"/>
    <x v="55"/>
    <x v="8"/>
    <x v="55"/>
    <x v="0"/>
    <x v="0"/>
  </r>
  <r>
    <s v="MO"/>
    <x v="85"/>
    <s v="area_code_408"/>
    <x v="0"/>
    <x v="1"/>
    <n v="0"/>
    <n v="80.8"/>
    <n v="81"/>
    <n v="13.74"/>
    <n v="195.7"/>
    <n v="91"/>
    <n v="16.63"/>
    <n v="190.1"/>
    <n v="66"/>
    <n v="8.5500000000000007"/>
    <x v="50"/>
    <x v="3"/>
    <x v="50"/>
    <x v="0"/>
    <x v="0"/>
  </r>
  <r>
    <s v="OH"/>
    <x v="55"/>
    <s v="area_code_415"/>
    <x v="0"/>
    <x v="1"/>
    <n v="0"/>
    <n v="207.2"/>
    <n v="114"/>
    <n v="35.22"/>
    <n v="163.69999999999999"/>
    <n v="97"/>
    <n v="13.91"/>
    <n v="192.8"/>
    <n v="79"/>
    <n v="8.68"/>
    <x v="38"/>
    <x v="4"/>
    <x v="38"/>
    <x v="6"/>
    <x v="0"/>
  </r>
  <r>
    <s v="ME"/>
    <x v="16"/>
    <s v="area_code_415"/>
    <x v="0"/>
    <x v="1"/>
    <n v="0"/>
    <n v="208.8"/>
    <n v="117"/>
    <n v="35.5"/>
    <n v="175.4"/>
    <n v="81"/>
    <n v="14.91"/>
    <n v="171.5"/>
    <n v="105"/>
    <n v="7.72"/>
    <x v="83"/>
    <x v="0"/>
    <x v="83"/>
    <x v="1"/>
    <x v="0"/>
  </r>
  <r>
    <s v="NH"/>
    <x v="197"/>
    <s v="area_code_510"/>
    <x v="0"/>
    <x v="1"/>
    <n v="0"/>
    <n v="159.9"/>
    <n v="61"/>
    <n v="27.18"/>
    <n v="237.3"/>
    <n v="124"/>
    <n v="20.170000000000002"/>
    <n v="290.2"/>
    <n v="99"/>
    <n v="13.06"/>
    <x v="83"/>
    <x v="4"/>
    <x v="83"/>
    <x v="3"/>
    <x v="0"/>
  </r>
  <r>
    <s v="NC"/>
    <x v="83"/>
    <s v="area_code_415"/>
    <x v="1"/>
    <x v="1"/>
    <n v="0"/>
    <n v="185.1"/>
    <n v="101"/>
    <n v="31.47"/>
    <n v="266.7"/>
    <n v="75"/>
    <n v="22.67"/>
    <n v="207.9"/>
    <n v="95"/>
    <n v="9.36"/>
    <x v="62"/>
    <x v="0"/>
    <x v="62"/>
    <x v="3"/>
    <x v="0"/>
  </r>
  <r>
    <s v="KY"/>
    <x v="60"/>
    <s v="area_code_408"/>
    <x v="0"/>
    <x v="1"/>
    <n v="0"/>
    <n v="139.1"/>
    <n v="93"/>
    <n v="23.65"/>
    <n v="237.9"/>
    <n v="100"/>
    <n v="20.22"/>
    <n v="227.1"/>
    <n v="59"/>
    <n v="10.220000000000001"/>
    <x v="37"/>
    <x v="0"/>
    <x v="37"/>
    <x v="0"/>
    <x v="0"/>
  </r>
  <r>
    <s v="UT"/>
    <x v="11"/>
    <s v="area_code_415"/>
    <x v="0"/>
    <x v="1"/>
    <n v="0"/>
    <n v="155.5"/>
    <n v="99"/>
    <n v="26.44"/>
    <n v="167"/>
    <n v="75"/>
    <n v="14.2"/>
    <n v="190.7"/>
    <n v="125"/>
    <n v="8.58"/>
    <x v="32"/>
    <x v="4"/>
    <x v="32"/>
    <x v="0"/>
    <x v="0"/>
  </r>
  <r>
    <s v="NV"/>
    <x v="51"/>
    <s v="area_code_408"/>
    <x v="0"/>
    <x v="1"/>
    <n v="0"/>
    <n v="180.5"/>
    <n v="82"/>
    <n v="30.69"/>
    <n v="242.4"/>
    <n v="103"/>
    <n v="20.6"/>
    <n v="244.4"/>
    <n v="89"/>
    <n v="11"/>
    <x v="19"/>
    <x v="2"/>
    <x v="19"/>
    <x v="2"/>
    <x v="0"/>
  </r>
  <r>
    <s v="VT"/>
    <x v="102"/>
    <s v="area_code_415"/>
    <x v="0"/>
    <x v="1"/>
    <n v="0"/>
    <n v="204.6"/>
    <n v="111"/>
    <n v="34.78"/>
    <n v="134.4"/>
    <n v="109"/>
    <n v="11.42"/>
    <n v="260.8"/>
    <n v="69"/>
    <n v="11.74"/>
    <x v="16"/>
    <x v="2"/>
    <x v="16"/>
    <x v="0"/>
    <x v="0"/>
  </r>
  <r>
    <s v="ME"/>
    <x v="40"/>
    <s v="area_code_415"/>
    <x v="1"/>
    <x v="1"/>
    <n v="0"/>
    <n v="220.4"/>
    <n v="76"/>
    <n v="37.47"/>
    <n v="276.39999999999998"/>
    <n v="122"/>
    <n v="23.49"/>
    <n v="239.5"/>
    <n v="112"/>
    <n v="10.78"/>
    <x v="37"/>
    <x v="1"/>
    <x v="37"/>
    <x v="0"/>
    <x v="1"/>
  </r>
  <r>
    <s v="ME"/>
    <x v="76"/>
    <s v="area_code_510"/>
    <x v="0"/>
    <x v="1"/>
    <n v="0"/>
    <n v="223.2"/>
    <n v="137"/>
    <n v="37.94"/>
    <n v="144.69999999999999"/>
    <n v="119"/>
    <n v="12.3"/>
    <n v="96"/>
    <n v="109"/>
    <n v="4.32"/>
    <x v="53"/>
    <x v="4"/>
    <x v="53"/>
    <x v="2"/>
    <x v="0"/>
  </r>
  <r>
    <s v="PA"/>
    <x v="2"/>
    <s v="area_code_415"/>
    <x v="0"/>
    <x v="1"/>
    <n v="0"/>
    <n v="109.1"/>
    <n v="114"/>
    <n v="18.55"/>
    <n v="231.4"/>
    <n v="113"/>
    <n v="19.670000000000002"/>
    <n v="274"/>
    <n v="112"/>
    <n v="12.33"/>
    <x v="63"/>
    <x v="4"/>
    <x v="63"/>
    <x v="1"/>
    <x v="0"/>
  </r>
  <r>
    <s v="MI"/>
    <x v="152"/>
    <s v="area_code_510"/>
    <x v="0"/>
    <x v="0"/>
    <n v="30"/>
    <n v="136.5"/>
    <n v="101"/>
    <n v="23.21"/>
    <n v="174.9"/>
    <n v="74"/>
    <n v="14.87"/>
    <n v="146.4"/>
    <n v="91"/>
    <n v="6.59"/>
    <x v="54"/>
    <x v="0"/>
    <x v="54"/>
    <x v="2"/>
    <x v="0"/>
  </r>
  <r>
    <s v="MN"/>
    <x v="59"/>
    <s v="area_code_510"/>
    <x v="1"/>
    <x v="1"/>
    <n v="0"/>
    <n v="192.8"/>
    <n v="96"/>
    <n v="32.78"/>
    <n v="136.6"/>
    <n v="86"/>
    <n v="11.61"/>
    <n v="151.80000000000001"/>
    <n v="75"/>
    <n v="6.83"/>
    <x v="88"/>
    <x v="4"/>
    <x v="88"/>
    <x v="0"/>
    <x v="1"/>
  </r>
  <r>
    <s v="KY"/>
    <x v="14"/>
    <s v="area_code_510"/>
    <x v="0"/>
    <x v="1"/>
    <n v="0"/>
    <n v="293.8"/>
    <n v="94"/>
    <n v="49.95"/>
    <n v="169.6"/>
    <n v="62"/>
    <n v="14.42"/>
    <n v="160.4"/>
    <n v="103"/>
    <n v="7.22"/>
    <x v="0"/>
    <x v="6"/>
    <x v="0"/>
    <x v="1"/>
    <x v="1"/>
  </r>
  <r>
    <s v="KY"/>
    <x v="120"/>
    <s v="area_code_408"/>
    <x v="0"/>
    <x v="1"/>
    <n v="0"/>
    <n v="130.5"/>
    <n v="66"/>
    <n v="22.19"/>
    <n v="80.900000000000006"/>
    <n v="102"/>
    <n v="6.88"/>
    <n v="221.6"/>
    <n v="116"/>
    <n v="9.9700000000000006"/>
    <x v="7"/>
    <x v="1"/>
    <x v="7"/>
    <x v="0"/>
    <x v="0"/>
  </r>
  <r>
    <s v="PA"/>
    <x v="130"/>
    <s v="area_code_415"/>
    <x v="0"/>
    <x v="1"/>
    <n v="0"/>
    <n v="186.8"/>
    <n v="102"/>
    <n v="31.76"/>
    <n v="176.3"/>
    <n v="114"/>
    <n v="14.99"/>
    <n v="222.2"/>
    <n v="84"/>
    <n v="10"/>
    <x v="14"/>
    <x v="0"/>
    <x v="14"/>
    <x v="1"/>
    <x v="0"/>
  </r>
  <r>
    <s v="VA"/>
    <x v="27"/>
    <s v="area_code_415"/>
    <x v="0"/>
    <x v="1"/>
    <n v="0"/>
    <n v="110.2"/>
    <n v="92"/>
    <n v="18.73"/>
    <n v="219.4"/>
    <n v="109"/>
    <n v="18.649999999999999"/>
    <n v="188.1"/>
    <n v="67"/>
    <n v="8.4600000000000009"/>
    <x v="10"/>
    <x v="4"/>
    <x v="10"/>
    <x v="2"/>
    <x v="0"/>
  </r>
  <r>
    <s v="UT"/>
    <x v="82"/>
    <s v="area_code_510"/>
    <x v="0"/>
    <x v="0"/>
    <n v="33"/>
    <n v="228.2"/>
    <n v="85"/>
    <n v="38.79"/>
    <n v="249.2"/>
    <n v="114"/>
    <n v="21.18"/>
    <n v="93.5"/>
    <n v="89"/>
    <n v="4.21"/>
    <x v="39"/>
    <x v="2"/>
    <x v="39"/>
    <x v="1"/>
    <x v="0"/>
  </r>
  <r>
    <s v="DC"/>
    <x v="26"/>
    <s v="area_code_415"/>
    <x v="1"/>
    <x v="1"/>
    <n v="0"/>
    <n v="176.6"/>
    <n v="107"/>
    <n v="30.02"/>
    <n v="179.4"/>
    <n v="98"/>
    <n v="15.25"/>
    <n v="178.2"/>
    <n v="80"/>
    <n v="8.02"/>
    <x v="155"/>
    <x v="1"/>
    <x v="155"/>
    <x v="2"/>
    <x v="1"/>
  </r>
  <r>
    <s v="MA"/>
    <x v="29"/>
    <s v="area_code_415"/>
    <x v="0"/>
    <x v="0"/>
    <n v="45"/>
    <n v="241.4"/>
    <n v="102"/>
    <n v="41.04"/>
    <n v="206.4"/>
    <n v="78"/>
    <n v="17.54"/>
    <n v="196.6"/>
    <n v="104"/>
    <n v="8.85"/>
    <x v="27"/>
    <x v="3"/>
    <x v="27"/>
    <x v="1"/>
    <x v="0"/>
  </r>
  <r>
    <s v="LA"/>
    <x v="134"/>
    <s v="area_code_408"/>
    <x v="0"/>
    <x v="1"/>
    <n v="0"/>
    <n v="174.8"/>
    <n v="88"/>
    <n v="29.72"/>
    <n v="197"/>
    <n v="94"/>
    <n v="16.75"/>
    <n v="87"/>
    <n v="103"/>
    <n v="3.92"/>
    <x v="53"/>
    <x v="3"/>
    <x v="53"/>
    <x v="3"/>
    <x v="0"/>
  </r>
  <r>
    <s v="VA"/>
    <x v="139"/>
    <s v="area_code_415"/>
    <x v="0"/>
    <x v="1"/>
    <n v="0"/>
    <n v="171.8"/>
    <n v="64"/>
    <n v="29.21"/>
    <n v="177.1"/>
    <n v="83"/>
    <n v="15.05"/>
    <n v="223"/>
    <n v="96"/>
    <n v="10.039999999999999"/>
    <x v="19"/>
    <x v="4"/>
    <x v="19"/>
    <x v="0"/>
    <x v="0"/>
  </r>
  <r>
    <s v="MI"/>
    <x v="14"/>
    <s v="area_code_415"/>
    <x v="0"/>
    <x v="0"/>
    <n v="37"/>
    <n v="190.8"/>
    <n v="58"/>
    <n v="32.44"/>
    <n v="221.9"/>
    <n v="101"/>
    <n v="18.86"/>
    <n v="211.2"/>
    <n v="104"/>
    <n v="9.5"/>
    <x v="10"/>
    <x v="4"/>
    <x v="10"/>
    <x v="0"/>
    <x v="0"/>
  </r>
  <r>
    <s v="MI"/>
    <x v="211"/>
    <s v="area_code_408"/>
    <x v="0"/>
    <x v="1"/>
    <n v="0"/>
    <n v="212.3"/>
    <n v="106"/>
    <n v="36.090000000000003"/>
    <n v="191.1"/>
    <n v="71"/>
    <n v="16.239999999999998"/>
    <n v="224.9"/>
    <n v="79"/>
    <n v="10.119999999999999"/>
    <x v="27"/>
    <x v="10"/>
    <x v="27"/>
    <x v="3"/>
    <x v="0"/>
  </r>
  <r>
    <s v="CT"/>
    <x v="15"/>
    <s v="area_code_510"/>
    <x v="0"/>
    <x v="1"/>
    <n v="0"/>
    <n v="159"/>
    <n v="123"/>
    <n v="27.03"/>
    <n v="233.3"/>
    <n v="95"/>
    <n v="19.829999999999998"/>
    <n v="178.9"/>
    <n v="155"/>
    <n v="8.0500000000000007"/>
    <x v="126"/>
    <x v="0"/>
    <x v="126"/>
    <x v="2"/>
    <x v="0"/>
  </r>
  <r>
    <s v="NH"/>
    <x v="200"/>
    <s v="area_code_408"/>
    <x v="0"/>
    <x v="0"/>
    <n v="38"/>
    <n v="178.4"/>
    <n v="103"/>
    <n v="30.33"/>
    <n v="184.4"/>
    <n v="79"/>
    <n v="15.67"/>
    <n v="203.3"/>
    <n v="94"/>
    <n v="9.15"/>
    <x v="68"/>
    <x v="0"/>
    <x v="68"/>
    <x v="3"/>
    <x v="0"/>
  </r>
  <r>
    <s v="AL"/>
    <x v="96"/>
    <s v="area_code_415"/>
    <x v="0"/>
    <x v="1"/>
    <n v="0"/>
    <n v="222.1"/>
    <n v="123"/>
    <n v="37.76"/>
    <n v="276.8"/>
    <n v="92"/>
    <n v="23.53"/>
    <n v="213.5"/>
    <n v="99"/>
    <n v="9.61"/>
    <x v="62"/>
    <x v="0"/>
    <x v="62"/>
    <x v="1"/>
    <x v="0"/>
  </r>
  <r>
    <s v="RI"/>
    <x v="53"/>
    <s v="area_code_510"/>
    <x v="0"/>
    <x v="1"/>
    <n v="0"/>
    <n v="190"/>
    <n v="98"/>
    <n v="32.299999999999997"/>
    <n v="196.1"/>
    <n v="111"/>
    <n v="16.670000000000002"/>
    <n v="216.4"/>
    <n v="58"/>
    <n v="9.74"/>
    <x v="40"/>
    <x v="3"/>
    <x v="40"/>
    <x v="2"/>
    <x v="0"/>
  </r>
  <r>
    <s v="NY"/>
    <x v="126"/>
    <s v="area_code_415"/>
    <x v="0"/>
    <x v="0"/>
    <n v="17"/>
    <n v="120"/>
    <n v="94"/>
    <n v="20.399999999999999"/>
    <n v="79.5"/>
    <n v="104"/>
    <n v="6.76"/>
    <n v="214"/>
    <n v="94"/>
    <n v="9.6300000000000008"/>
    <x v="6"/>
    <x v="8"/>
    <x v="6"/>
    <x v="0"/>
    <x v="0"/>
  </r>
  <r>
    <s v="OH"/>
    <x v="73"/>
    <s v="area_code_415"/>
    <x v="0"/>
    <x v="1"/>
    <n v="0"/>
    <n v="145.9"/>
    <n v="90"/>
    <n v="24.8"/>
    <n v="148.1"/>
    <n v="105"/>
    <n v="12.59"/>
    <n v="241.3"/>
    <n v="93"/>
    <n v="10.86"/>
    <x v="80"/>
    <x v="8"/>
    <x v="80"/>
    <x v="2"/>
    <x v="0"/>
  </r>
  <r>
    <s v="WV"/>
    <x v="104"/>
    <s v="area_code_408"/>
    <x v="0"/>
    <x v="1"/>
    <n v="0"/>
    <n v="179.8"/>
    <n v="82"/>
    <n v="30.57"/>
    <n v="176.1"/>
    <n v="78"/>
    <n v="14.97"/>
    <n v="132.6"/>
    <n v="85"/>
    <n v="5.97"/>
    <x v="42"/>
    <x v="1"/>
    <x v="42"/>
    <x v="0"/>
    <x v="0"/>
  </r>
  <r>
    <s v="OK"/>
    <x v="159"/>
    <s v="area_code_408"/>
    <x v="0"/>
    <x v="1"/>
    <n v="0"/>
    <n v="225.7"/>
    <n v="70"/>
    <n v="38.369999999999997"/>
    <n v="206.9"/>
    <n v="90"/>
    <n v="17.59"/>
    <n v="167.9"/>
    <n v="88"/>
    <n v="7.56"/>
    <x v="12"/>
    <x v="0"/>
    <x v="12"/>
    <x v="0"/>
    <x v="0"/>
  </r>
  <r>
    <s v="WI"/>
    <x v="67"/>
    <s v="area_code_415"/>
    <x v="0"/>
    <x v="1"/>
    <n v="0"/>
    <n v="199.7"/>
    <n v="109"/>
    <n v="33.950000000000003"/>
    <n v="114.2"/>
    <n v="68"/>
    <n v="9.7100000000000009"/>
    <n v="241"/>
    <n v="109"/>
    <n v="10.85"/>
    <x v="5"/>
    <x v="5"/>
    <x v="5"/>
    <x v="1"/>
    <x v="0"/>
  </r>
  <r>
    <s v="OH"/>
    <x v="154"/>
    <s v="area_code_510"/>
    <x v="0"/>
    <x v="1"/>
    <n v="0"/>
    <n v="150"/>
    <n v="63"/>
    <n v="25.5"/>
    <n v="225"/>
    <n v="90"/>
    <n v="19.13"/>
    <n v="202.3"/>
    <n v="99"/>
    <n v="9.1"/>
    <x v="29"/>
    <x v="1"/>
    <x v="29"/>
    <x v="3"/>
    <x v="0"/>
  </r>
  <r>
    <s v="OK"/>
    <x v="111"/>
    <s v="area_code_415"/>
    <x v="1"/>
    <x v="1"/>
    <n v="0"/>
    <n v="247.1"/>
    <n v="114"/>
    <n v="42.01"/>
    <n v="146.5"/>
    <n v="110"/>
    <n v="12.45"/>
    <n v="208.9"/>
    <n v="94"/>
    <n v="9.4"/>
    <x v="15"/>
    <x v="5"/>
    <x v="15"/>
    <x v="4"/>
    <x v="1"/>
  </r>
  <r>
    <s v="PA"/>
    <x v="64"/>
    <s v="area_code_408"/>
    <x v="0"/>
    <x v="1"/>
    <n v="0"/>
    <n v="215.7"/>
    <n v="75"/>
    <n v="36.67"/>
    <n v="244.4"/>
    <n v="105"/>
    <n v="20.77"/>
    <n v="211.2"/>
    <n v="91"/>
    <n v="9.5"/>
    <x v="37"/>
    <x v="1"/>
    <x v="37"/>
    <x v="2"/>
    <x v="0"/>
  </r>
  <r>
    <s v="KS"/>
    <x v="146"/>
    <s v="area_code_415"/>
    <x v="0"/>
    <x v="1"/>
    <n v="0"/>
    <n v="94.8"/>
    <n v="102"/>
    <n v="16.12"/>
    <n v="238.9"/>
    <n v="91"/>
    <n v="20.309999999999999"/>
    <n v="279.39999999999998"/>
    <n v="94"/>
    <n v="12.57"/>
    <x v="43"/>
    <x v="0"/>
    <x v="43"/>
    <x v="2"/>
    <x v="0"/>
  </r>
  <r>
    <s v="SD"/>
    <x v="80"/>
    <s v="area_code_415"/>
    <x v="0"/>
    <x v="1"/>
    <n v="0"/>
    <n v="79.3"/>
    <n v="115"/>
    <n v="13.48"/>
    <n v="159"/>
    <n v="64"/>
    <n v="13.52"/>
    <n v="245.7"/>
    <n v="99"/>
    <n v="11.06"/>
    <x v="3"/>
    <x v="4"/>
    <x v="3"/>
    <x v="0"/>
    <x v="0"/>
  </r>
  <r>
    <s v="UT"/>
    <x v="129"/>
    <s v="area_code_408"/>
    <x v="0"/>
    <x v="1"/>
    <n v="0"/>
    <n v="157.19999999999999"/>
    <n v="81"/>
    <n v="26.72"/>
    <n v="247.7"/>
    <n v="131"/>
    <n v="21.05"/>
    <n v="215.7"/>
    <n v="141"/>
    <n v="9.7100000000000009"/>
    <x v="79"/>
    <x v="6"/>
    <x v="79"/>
    <x v="0"/>
    <x v="0"/>
  </r>
  <r>
    <s v="IN"/>
    <x v="124"/>
    <s v="area_code_408"/>
    <x v="0"/>
    <x v="1"/>
    <n v="0"/>
    <n v="119.8"/>
    <n v="123"/>
    <n v="20.37"/>
    <n v="262.2"/>
    <n v="122"/>
    <n v="22.29"/>
    <n v="219.8"/>
    <n v="111"/>
    <n v="9.89"/>
    <x v="70"/>
    <x v="1"/>
    <x v="70"/>
    <x v="0"/>
    <x v="0"/>
  </r>
  <r>
    <s v="IA"/>
    <x v="36"/>
    <s v="area_code_510"/>
    <x v="0"/>
    <x v="0"/>
    <n v="24"/>
    <n v="229.1"/>
    <n v="86"/>
    <n v="38.950000000000003"/>
    <n v="168.7"/>
    <n v="124"/>
    <n v="14.34"/>
    <n v="245.4"/>
    <n v="75"/>
    <n v="11.04"/>
    <x v="28"/>
    <x v="5"/>
    <x v="28"/>
    <x v="0"/>
    <x v="0"/>
  </r>
  <r>
    <s v="WA"/>
    <x v="126"/>
    <s v="area_code_408"/>
    <x v="0"/>
    <x v="1"/>
    <n v="0"/>
    <n v="135.1"/>
    <n v="112"/>
    <n v="22.97"/>
    <n v="226.3"/>
    <n v="85"/>
    <n v="19.239999999999998"/>
    <n v="115.2"/>
    <n v="108"/>
    <n v="5.18"/>
    <x v="22"/>
    <x v="3"/>
    <x v="22"/>
    <x v="0"/>
    <x v="0"/>
  </r>
  <r>
    <s v="AL"/>
    <x v="24"/>
    <s v="area_code_408"/>
    <x v="0"/>
    <x v="1"/>
    <n v="0"/>
    <n v="239.7"/>
    <n v="112"/>
    <n v="40.75"/>
    <n v="221.1"/>
    <n v="122"/>
    <n v="18.79"/>
    <n v="207.3"/>
    <n v="109"/>
    <n v="9.33"/>
    <x v="22"/>
    <x v="0"/>
    <x v="22"/>
    <x v="2"/>
    <x v="0"/>
  </r>
  <r>
    <s v="TX"/>
    <x v="143"/>
    <s v="area_code_510"/>
    <x v="1"/>
    <x v="1"/>
    <n v="0"/>
    <n v="159.6"/>
    <n v="136"/>
    <n v="27.13"/>
    <n v="151"/>
    <n v="126"/>
    <n v="12.84"/>
    <n v="142.1"/>
    <n v="53"/>
    <n v="6.39"/>
    <x v="48"/>
    <x v="4"/>
    <x v="48"/>
    <x v="4"/>
    <x v="1"/>
  </r>
  <r>
    <s v="CT"/>
    <x v="34"/>
    <s v="area_code_510"/>
    <x v="0"/>
    <x v="0"/>
    <n v="38"/>
    <n v="231.2"/>
    <n v="125"/>
    <n v="39.299999999999997"/>
    <n v="174.8"/>
    <n v="121"/>
    <n v="14.86"/>
    <n v="171.2"/>
    <n v="87"/>
    <n v="7.7"/>
    <x v="70"/>
    <x v="5"/>
    <x v="70"/>
    <x v="4"/>
    <x v="0"/>
  </r>
  <r>
    <s v="OR"/>
    <x v="37"/>
    <s v="area_code_510"/>
    <x v="0"/>
    <x v="1"/>
    <n v="0"/>
    <n v="203.7"/>
    <n v="95"/>
    <n v="34.630000000000003"/>
    <n v="212.6"/>
    <n v="122"/>
    <n v="18.07"/>
    <n v="177.1"/>
    <n v="103"/>
    <n v="7.97"/>
    <x v="57"/>
    <x v="8"/>
    <x v="57"/>
    <x v="3"/>
    <x v="0"/>
  </r>
  <r>
    <s v="IN"/>
    <x v="10"/>
    <s v="area_code_415"/>
    <x v="0"/>
    <x v="1"/>
    <n v="0"/>
    <n v="160.6"/>
    <n v="110"/>
    <n v="27.3"/>
    <n v="185.2"/>
    <n v="120"/>
    <n v="15.74"/>
    <n v="120.2"/>
    <n v="104"/>
    <n v="5.41"/>
    <x v="9"/>
    <x v="4"/>
    <x v="9"/>
    <x v="0"/>
    <x v="1"/>
  </r>
  <r>
    <s v="NY"/>
    <x v="51"/>
    <s v="area_code_415"/>
    <x v="1"/>
    <x v="1"/>
    <n v="0"/>
    <n v="261.10000000000002"/>
    <n v="96"/>
    <n v="44.39"/>
    <n v="170.9"/>
    <n v="120"/>
    <n v="14.53"/>
    <n v="71.099999999999994"/>
    <n v="89"/>
    <n v="3.2"/>
    <x v="77"/>
    <x v="13"/>
    <x v="77"/>
    <x v="3"/>
    <x v="1"/>
  </r>
  <r>
    <s v="WY"/>
    <x v="105"/>
    <s v="area_code_415"/>
    <x v="0"/>
    <x v="1"/>
    <n v="0"/>
    <n v="138.69999999999999"/>
    <n v="92"/>
    <n v="23.58"/>
    <n v="205.8"/>
    <n v="73"/>
    <n v="17.489999999999998"/>
    <n v="247.9"/>
    <n v="119"/>
    <n v="11.16"/>
    <x v="52"/>
    <x v="1"/>
    <x v="52"/>
    <x v="0"/>
    <x v="0"/>
  </r>
  <r>
    <s v="WI"/>
    <x v="115"/>
    <s v="area_code_415"/>
    <x v="0"/>
    <x v="1"/>
    <n v="0"/>
    <n v="226.6"/>
    <n v="126"/>
    <n v="38.520000000000003"/>
    <n v="143.6"/>
    <n v="107"/>
    <n v="12.21"/>
    <n v="94.9"/>
    <n v="123"/>
    <n v="4.2699999999999996"/>
    <x v="47"/>
    <x v="1"/>
    <x v="47"/>
    <x v="0"/>
    <x v="0"/>
  </r>
  <r>
    <s v="DE"/>
    <x v="156"/>
    <s v="area_code_408"/>
    <x v="0"/>
    <x v="1"/>
    <n v="0"/>
    <n v="229.1"/>
    <n v="120"/>
    <n v="38.950000000000003"/>
    <n v="172.4"/>
    <n v="79"/>
    <n v="14.65"/>
    <n v="243.6"/>
    <n v="102"/>
    <n v="10.96"/>
    <x v="34"/>
    <x v="4"/>
    <x v="34"/>
    <x v="3"/>
    <x v="0"/>
  </r>
  <r>
    <s v="TN"/>
    <x v="147"/>
    <s v="area_code_408"/>
    <x v="0"/>
    <x v="1"/>
    <n v="0"/>
    <n v="157.4"/>
    <n v="83"/>
    <n v="26.76"/>
    <n v="47.3"/>
    <n v="102"/>
    <n v="4.0199999999999996"/>
    <n v="160.4"/>
    <n v="92"/>
    <n v="7.22"/>
    <x v="37"/>
    <x v="1"/>
    <x v="37"/>
    <x v="1"/>
    <x v="0"/>
  </r>
  <r>
    <s v="DC"/>
    <x v="44"/>
    <s v="area_code_415"/>
    <x v="0"/>
    <x v="0"/>
    <n v="25"/>
    <n v="185.6"/>
    <n v="109"/>
    <n v="31.55"/>
    <n v="167.3"/>
    <n v="89"/>
    <n v="14.22"/>
    <n v="171.6"/>
    <n v="100"/>
    <n v="7.72"/>
    <x v="85"/>
    <x v="0"/>
    <x v="85"/>
    <x v="0"/>
    <x v="1"/>
  </r>
  <r>
    <s v="TX"/>
    <x v="51"/>
    <s v="area_code_415"/>
    <x v="0"/>
    <x v="1"/>
    <n v="0"/>
    <n v="217.2"/>
    <n v="73"/>
    <n v="36.92"/>
    <n v="190.8"/>
    <n v="127"/>
    <n v="16.22"/>
    <n v="133.5"/>
    <n v="97"/>
    <n v="6.01"/>
    <x v="133"/>
    <x v="0"/>
    <x v="133"/>
    <x v="4"/>
    <x v="0"/>
  </r>
  <r>
    <s v="DC"/>
    <x v="98"/>
    <s v="area_code_415"/>
    <x v="0"/>
    <x v="1"/>
    <n v="0"/>
    <n v="183.1"/>
    <n v="128"/>
    <n v="31.13"/>
    <n v="241"/>
    <n v="93"/>
    <n v="20.49"/>
    <n v="211.1"/>
    <n v="108"/>
    <n v="9.5"/>
    <x v="60"/>
    <x v="4"/>
    <x v="60"/>
    <x v="1"/>
    <x v="0"/>
  </r>
  <r>
    <s v="TN"/>
    <x v="212"/>
    <s v="area_code_408"/>
    <x v="0"/>
    <x v="0"/>
    <n v="34"/>
    <n v="218.5"/>
    <n v="89"/>
    <n v="37.15"/>
    <n v="160.69999999999999"/>
    <n v="76"/>
    <n v="13.66"/>
    <n v="181.6"/>
    <n v="76"/>
    <n v="8.17"/>
    <x v="140"/>
    <x v="1"/>
    <x v="140"/>
    <x v="4"/>
    <x v="0"/>
  </r>
  <r>
    <s v="MI"/>
    <x v="17"/>
    <s v="area_code_415"/>
    <x v="0"/>
    <x v="1"/>
    <n v="0"/>
    <n v="143.80000000000001"/>
    <n v="76"/>
    <n v="24.45"/>
    <n v="274.8"/>
    <n v="103"/>
    <n v="23.36"/>
    <n v="194.7"/>
    <n v="105"/>
    <n v="8.76"/>
    <x v="10"/>
    <x v="8"/>
    <x v="10"/>
    <x v="1"/>
    <x v="0"/>
  </r>
  <r>
    <s v="DE"/>
    <x v="141"/>
    <s v="area_code_415"/>
    <x v="0"/>
    <x v="1"/>
    <n v="0"/>
    <n v="143"/>
    <n v="100"/>
    <n v="24.31"/>
    <n v="193.4"/>
    <n v="89"/>
    <n v="16.440000000000001"/>
    <n v="59.5"/>
    <n v="81"/>
    <n v="2.68"/>
    <x v="10"/>
    <x v="10"/>
    <x v="10"/>
    <x v="4"/>
    <x v="1"/>
  </r>
  <r>
    <s v="CO"/>
    <x v="116"/>
    <s v="area_code_415"/>
    <x v="0"/>
    <x v="0"/>
    <n v="39"/>
    <n v="147.19999999999999"/>
    <n v="105"/>
    <n v="25.02"/>
    <n v="168.8"/>
    <n v="96"/>
    <n v="14.35"/>
    <n v="165.3"/>
    <n v="118"/>
    <n v="7.44"/>
    <x v="14"/>
    <x v="4"/>
    <x v="14"/>
    <x v="0"/>
    <x v="0"/>
  </r>
  <r>
    <s v="NJ"/>
    <x v="169"/>
    <s v="area_code_415"/>
    <x v="0"/>
    <x v="0"/>
    <n v="32"/>
    <n v="224"/>
    <n v="75"/>
    <n v="38.08"/>
    <n v="97.5"/>
    <n v="103"/>
    <n v="8.2899999999999991"/>
    <n v="211.6"/>
    <n v="80"/>
    <n v="9.52"/>
    <x v="85"/>
    <x v="1"/>
    <x v="85"/>
    <x v="2"/>
    <x v="0"/>
  </r>
  <r>
    <s v="OK"/>
    <x v="105"/>
    <s v="area_code_408"/>
    <x v="1"/>
    <x v="1"/>
    <n v="0"/>
    <n v="132.9"/>
    <n v="132"/>
    <n v="22.59"/>
    <n v="208.2"/>
    <n v="82"/>
    <n v="17.7"/>
    <n v="260.5"/>
    <n v="42"/>
    <n v="11.72"/>
    <x v="90"/>
    <x v="12"/>
    <x v="90"/>
    <x v="2"/>
    <x v="1"/>
  </r>
  <r>
    <s v="VA"/>
    <x v="98"/>
    <s v="area_code_408"/>
    <x v="0"/>
    <x v="1"/>
    <n v="0"/>
    <n v="160.30000000000001"/>
    <n v="110"/>
    <n v="27.25"/>
    <n v="53.2"/>
    <n v="92"/>
    <n v="4.5199999999999996"/>
    <n v="130.69999999999999"/>
    <n v="119"/>
    <n v="5.88"/>
    <x v="26"/>
    <x v="4"/>
    <x v="26"/>
    <x v="1"/>
    <x v="0"/>
  </r>
  <r>
    <s v="TN"/>
    <x v="67"/>
    <s v="area_code_415"/>
    <x v="0"/>
    <x v="0"/>
    <n v="21"/>
    <n v="213.8"/>
    <n v="103"/>
    <n v="36.35"/>
    <n v="257.7"/>
    <n v="72"/>
    <n v="21.9"/>
    <n v="218.4"/>
    <n v="114"/>
    <n v="9.83"/>
    <x v="68"/>
    <x v="3"/>
    <x v="68"/>
    <x v="0"/>
    <x v="0"/>
  </r>
  <r>
    <s v="HI"/>
    <x v="191"/>
    <s v="area_code_415"/>
    <x v="0"/>
    <x v="1"/>
    <n v="0"/>
    <n v="248.2"/>
    <n v="128"/>
    <n v="42.19"/>
    <n v="211.2"/>
    <n v="96"/>
    <n v="17.95"/>
    <n v="147.1"/>
    <n v="117"/>
    <n v="6.62"/>
    <x v="13"/>
    <x v="3"/>
    <x v="13"/>
    <x v="2"/>
    <x v="0"/>
  </r>
  <r>
    <s v="PA"/>
    <x v="1"/>
    <s v="area_code_415"/>
    <x v="0"/>
    <x v="0"/>
    <n v="25"/>
    <n v="174.6"/>
    <n v="88"/>
    <n v="29.68"/>
    <n v="243.8"/>
    <n v="118"/>
    <n v="20.72"/>
    <n v="259.7"/>
    <n v="103"/>
    <n v="11.69"/>
    <x v="1"/>
    <x v="0"/>
    <x v="1"/>
    <x v="3"/>
    <x v="0"/>
  </r>
  <r>
    <s v="WY"/>
    <x v="188"/>
    <s v="area_code_415"/>
    <x v="0"/>
    <x v="0"/>
    <n v="23"/>
    <n v="205.5"/>
    <n v="102"/>
    <n v="34.94"/>
    <n v="209.5"/>
    <n v="83"/>
    <n v="17.809999999999999"/>
    <n v="182.3"/>
    <n v="99"/>
    <n v="8.1999999999999993"/>
    <x v="69"/>
    <x v="4"/>
    <x v="69"/>
    <x v="1"/>
    <x v="0"/>
  </r>
  <r>
    <s v="RI"/>
    <x v="1"/>
    <s v="area_code_415"/>
    <x v="0"/>
    <x v="1"/>
    <n v="0"/>
    <n v="209.1"/>
    <n v="104"/>
    <n v="35.549999999999997"/>
    <n v="189.4"/>
    <n v="96"/>
    <n v="16.100000000000001"/>
    <n v="214.4"/>
    <n v="83"/>
    <n v="9.65"/>
    <x v="102"/>
    <x v="4"/>
    <x v="102"/>
    <x v="3"/>
    <x v="0"/>
  </r>
  <r>
    <s v="RI"/>
    <x v="171"/>
    <s v="area_code_415"/>
    <x v="0"/>
    <x v="1"/>
    <n v="0"/>
    <n v="251.1"/>
    <n v="81"/>
    <n v="42.69"/>
    <n v="178.3"/>
    <n v="106"/>
    <n v="15.16"/>
    <n v="184.6"/>
    <n v="90"/>
    <n v="8.31"/>
    <x v="8"/>
    <x v="1"/>
    <x v="8"/>
    <x v="1"/>
    <x v="0"/>
  </r>
  <r>
    <s v="MD"/>
    <x v="142"/>
    <s v="area_code_408"/>
    <x v="0"/>
    <x v="1"/>
    <n v="0"/>
    <n v="187.6"/>
    <n v="113"/>
    <n v="31.89"/>
    <n v="217.4"/>
    <n v="115"/>
    <n v="18.48"/>
    <n v="139.69999999999999"/>
    <n v="92"/>
    <n v="6.29"/>
    <x v="52"/>
    <x v="1"/>
    <x v="52"/>
    <x v="3"/>
    <x v="0"/>
  </r>
  <r>
    <s v="KY"/>
    <x v="132"/>
    <s v="area_code_415"/>
    <x v="0"/>
    <x v="0"/>
    <n v="37"/>
    <n v="197.5"/>
    <n v="89"/>
    <n v="33.58"/>
    <n v="228.7"/>
    <n v="141"/>
    <n v="19.440000000000001"/>
    <n v="313.39999999999998"/>
    <n v="121"/>
    <n v="14.1"/>
    <x v="165"/>
    <x v="5"/>
    <x v="165"/>
    <x v="0"/>
    <x v="0"/>
  </r>
  <r>
    <s v="OH"/>
    <x v="155"/>
    <s v="area_code_510"/>
    <x v="0"/>
    <x v="1"/>
    <n v="0"/>
    <n v="221.6"/>
    <n v="88"/>
    <n v="37.67"/>
    <n v="231.8"/>
    <n v="87"/>
    <n v="19.7"/>
    <n v="211.7"/>
    <n v="116"/>
    <n v="9.5299999999999994"/>
    <x v="53"/>
    <x v="6"/>
    <x v="53"/>
    <x v="0"/>
    <x v="0"/>
  </r>
  <r>
    <s v="VA"/>
    <x v="108"/>
    <s v="area_code_415"/>
    <x v="0"/>
    <x v="1"/>
    <n v="0"/>
    <n v="200.7"/>
    <n v="151"/>
    <n v="34.119999999999997"/>
    <n v="290.8"/>
    <n v="127"/>
    <n v="24.72"/>
    <n v="186.7"/>
    <n v="105"/>
    <n v="8.4"/>
    <x v="39"/>
    <x v="6"/>
    <x v="39"/>
    <x v="0"/>
    <x v="0"/>
  </r>
  <r>
    <s v="PA"/>
    <x v="112"/>
    <s v="area_code_510"/>
    <x v="0"/>
    <x v="1"/>
    <n v="0"/>
    <n v="212.8"/>
    <n v="79"/>
    <n v="36.18"/>
    <n v="90.9"/>
    <n v="145"/>
    <n v="7.73"/>
    <n v="152.30000000000001"/>
    <n v="67"/>
    <n v="6.85"/>
    <x v="78"/>
    <x v="0"/>
    <x v="78"/>
    <x v="2"/>
    <x v="0"/>
  </r>
  <r>
    <s v="NE"/>
    <x v="102"/>
    <s v="area_code_510"/>
    <x v="0"/>
    <x v="1"/>
    <n v="0"/>
    <n v="213.3"/>
    <n v="99"/>
    <n v="36.26"/>
    <n v="153.1"/>
    <n v="79"/>
    <n v="13.01"/>
    <n v="227.9"/>
    <n v="98"/>
    <n v="10.26"/>
    <x v="81"/>
    <x v="1"/>
    <x v="81"/>
    <x v="0"/>
    <x v="0"/>
  </r>
  <r>
    <s v="GA"/>
    <x v="18"/>
    <s v="area_code_408"/>
    <x v="1"/>
    <x v="1"/>
    <n v="0"/>
    <n v="177.1"/>
    <n v="102"/>
    <n v="30.11"/>
    <n v="249.1"/>
    <n v="102"/>
    <n v="21.17"/>
    <n v="153.30000000000001"/>
    <n v="66"/>
    <n v="6.9"/>
    <x v="82"/>
    <x v="4"/>
    <x v="82"/>
    <x v="2"/>
    <x v="0"/>
  </r>
  <r>
    <s v="ME"/>
    <x v="3"/>
    <s v="area_code_408"/>
    <x v="0"/>
    <x v="1"/>
    <n v="0"/>
    <n v="229.2"/>
    <n v="59"/>
    <n v="38.96"/>
    <n v="142.80000000000001"/>
    <n v="107"/>
    <n v="12.14"/>
    <n v="291.60000000000002"/>
    <n v="109"/>
    <n v="13.12"/>
    <x v="31"/>
    <x v="1"/>
    <x v="31"/>
    <x v="1"/>
    <x v="0"/>
  </r>
  <r>
    <s v="OH"/>
    <x v="11"/>
    <s v="area_code_510"/>
    <x v="0"/>
    <x v="0"/>
    <n v="24"/>
    <n v="129.4"/>
    <n v="120"/>
    <n v="22"/>
    <n v="159.80000000000001"/>
    <n v="68"/>
    <n v="13.58"/>
    <n v="214.4"/>
    <n v="83"/>
    <n v="9.65"/>
    <x v="44"/>
    <x v="4"/>
    <x v="44"/>
    <x v="4"/>
    <x v="1"/>
  </r>
  <r>
    <s v="ID"/>
    <x v="1"/>
    <s v="area_code_510"/>
    <x v="0"/>
    <x v="1"/>
    <n v="0"/>
    <n v="203.1"/>
    <n v="97"/>
    <n v="34.53"/>
    <n v="132"/>
    <n v="76"/>
    <n v="11.22"/>
    <n v="250.9"/>
    <n v="94"/>
    <n v="11.29"/>
    <x v="29"/>
    <x v="4"/>
    <x v="29"/>
    <x v="4"/>
    <x v="0"/>
  </r>
  <r>
    <s v="KS"/>
    <x v="43"/>
    <s v="area_code_408"/>
    <x v="1"/>
    <x v="1"/>
    <n v="0"/>
    <n v="232.2"/>
    <n v="98"/>
    <n v="39.47"/>
    <n v="244.7"/>
    <n v="91"/>
    <n v="20.8"/>
    <n v="151.30000000000001"/>
    <n v="69"/>
    <n v="6.81"/>
    <x v="15"/>
    <x v="8"/>
    <x v="15"/>
    <x v="6"/>
    <x v="1"/>
  </r>
  <r>
    <s v="TN"/>
    <x v="41"/>
    <s v="area_code_415"/>
    <x v="0"/>
    <x v="1"/>
    <n v="0"/>
    <n v="138.5"/>
    <n v="96"/>
    <n v="23.55"/>
    <n v="159.69999999999999"/>
    <n v="117"/>
    <n v="13.57"/>
    <n v="212.7"/>
    <n v="91"/>
    <n v="9.57"/>
    <x v="18"/>
    <x v="0"/>
    <x v="18"/>
    <x v="2"/>
    <x v="0"/>
  </r>
  <r>
    <s v="WA"/>
    <x v="8"/>
    <s v="area_code_415"/>
    <x v="0"/>
    <x v="1"/>
    <n v="0"/>
    <n v="189.3"/>
    <n v="74"/>
    <n v="32.18"/>
    <n v="205.3"/>
    <n v="90"/>
    <n v="17.45"/>
    <n v="228.2"/>
    <n v="78"/>
    <n v="10.27"/>
    <x v="31"/>
    <x v="15"/>
    <x v="31"/>
    <x v="3"/>
    <x v="0"/>
  </r>
  <r>
    <s v="VT"/>
    <x v="108"/>
    <s v="area_code_510"/>
    <x v="0"/>
    <x v="1"/>
    <n v="0"/>
    <n v="254.2"/>
    <n v="97"/>
    <n v="43.21"/>
    <n v="262"/>
    <n v="88"/>
    <n v="22.27"/>
    <n v="256.3"/>
    <n v="82"/>
    <n v="11.53"/>
    <x v="109"/>
    <x v="3"/>
    <x v="109"/>
    <x v="1"/>
    <x v="1"/>
  </r>
  <r>
    <s v="IL"/>
    <x v="58"/>
    <s v="area_code_408"/>
    <x v="0"/>
    <x v="1"/>
    <n v="0"/>
    <n v="176.5"/>
    <n v="85"/>
    <n v="30.01"/>
    <n v="119.2"/>
    <n v="93"/>
    <n v="10.130000000000001"/>
    <n v="227.7"/>
    <n v="90"/>
    <n v="10.25"/>
    <x v="6"/>
    <x v="1"/>
    <x v="6"/>
    <x v="0"/>
    <x v="0"/>
  </r>
  <r>
    <s v="ID"/>
    <x v="93"/>
    <s v="area_code_415"/>
    <x v="0"/>
    <x v="1"/>
    <n v="0"/>
    <n v="234.3"/>
    <n v="111"/>
    <n v="39.83"/>
    <n v="206.4"/>
    <n v="87"/>
    <n v="17.54"/>
    <n v="157.30000000000001"/>
    <n v="101"/>
    <n v="7.08"/>
    <x v="41"/>
    <x v="11"/>
    <x v="41"/>
    <x v="3"/>
    <x v="0"/>
  </r>
  <r>
    <s v="DE"/>
    <x v="54"/>
    <s v="area_code_510"/>
    <x v="0"/>
    <x v="0"/>
    <n v="39"/>
    <n v="147.30000000000001"/>
    <n v="75"/>
    <n v="25.04"/>
    <n v="244.8"/>
    <n v="74"/>
    <n v="20.81"/>
    <n v="216.9"/>
    <n v="101"/>
    <n v="9.76"/>
    <x v="32"/>
    <x v="0"/>
    <x v="32"/>
    <x v="2"/>
    <x v="0"/>
  </r>
  <r>
    <s v="AK"/>
    <x v="171"/>
    <s v="area_code_415"/>
    <x v="0"/>
    <x v="1"/>
    <n v="0"/>
    <n v="171"/>
    <n v="129"/>
    <n v="29.07"/>
    <n v="183.9"/>
    <n v="96"/>
    <n v="15.63"/>
    <n v="130.19999999999999"/>
    <n v="90"/>
    <n v="5.86"/>
    <x v="117"/>
    <x v="3"/>
    <x v="117"/>
    <x v="1"/>
    <x v="0"/>
  </r>
  <r>
    <s v="MO"/>
    <x v="78"/>
    <s v="area_code_415"/>
    <x v="0"/>
    <x v="0"/>
    <n v="34"/>
    <n v="240.6"/>
    <n v="92"/>
    <n v="40.9"/>
    <n v="204.2"/>
    <n v="99"/>
    <n v="17.36"/>
    <n v="297"/>
    <n v="82"/>
    <n v="13.37"/>
    <x v="8"/>
    <x v="6"/>
    <x v="8"/>
    <x v="5"/>
    <x v="0"/>
  </r>
  <r>
    <s v="NE"/>
    <x v="53"/>
    <s v="area_code_415"/>
    <x v="0"/>
    <x v="1"/>
    <n v="0"/>
    <n v="114.4"/>
    <n v="108"/>
    <n v="19.45"/>
    <n v="232.8"/>
    <n v="150"/>
    <n v="19.79"/>
    <n v="198.1"/>
    <n v="78"/>
    <n v="8.91"/>
    <x v="56"/>
    <x v="0"/>
    <x v="56"/>
    <x v="1"/>
    <x v="0"/>
  </r>
  <r>
    <s v="FL"/>
    <x v="103"/>
    <s v="area_code_510"/>
    <x v="0"/>
    <x v="1"/>
    <n v="0"/>
    <n v="113.9"/>
    <n v="112"/>
    <n v="19.36"/>
    <n v="271.8"/>
    <n v="106"/>
    <n v="23.1"/>
    <n v="216.7"/>
    <n v="95"/>
    <n v="9.75"/>
    <x v="95"/>
    <x v="0"/>
    <x v="95"/>
    <x v="2"/>
    <x v="0"/>
  </r>
  <r>
    <s v="MI"/>
    <x v="110"/>
    <s v="area_code_408"/>
    <x v="0"/>
    <x v="1"/>
    <n v="0"/>
    <n v="180"/>
    <n v="65"/>
    <n v="30.6"/>
    <n v="207"/>
    <n v="106"/>
    <n v="17.600000000000001"/>
    <n v="182.8"/>
    <n v="111"/>
    <n v="8.23"/>
    <x v="24"/>
    <x v="3"/>
    <x v="24"/>
    <x v="0"/>
    <x v="0"/>
  </r>
  <r>
    <s v="PA"/>
    <x v="5"/>
    <s v="area_code_510"/>
    <x v="0"/>
    <x v="0"/>
    <n v="35"/>
    <n v="110.8"/>
    <n v="123"/>
    <n v="18.84"/>
    <n v="199.2"/>
    <n v="81"/>
    <n v="16.93"/>
    <n v="212.9"/>
    <n v="77"/>
    <n v="9.58"/>
    <x v="56"/>
    <x v="4"/>
    <x v="56"/>
    <x v="2"/>
    <x v="0"/>
  </r>
  <r>
    <s v="AR"/>
    <x v="20"/>
    <s v="area_code_415"/>
    <x v="0"/>
    <x v="0"/>
    <n v="26"/>
    <n v="138.69999999999999"/>
    <n v="99"/>
    <n v="23.58"/>
    <n v="134.5"/>
    <n v="105"/>
    <n v="11.43"/>
    <n v="261.7"/>
    <n v="95"/>
    <n v="11.78"/>
    <x v="14"/>
    <x v="1"/>
    <x v="14"/>
    <x v="2"/>
    <x v="0"/>
  </r>
  <r>
    <s v="KY"/>
    <x v="190"/>
    <s v="area_code_510"/>
    <x v="0"/>
    <x v="0"/>
    <n v="33"/>
    <n v="211.8"/>
    <n v="99"/>
    <n v="36.01"/>
    <n v="170.9"/>
    <n v="110"/>
    <n v="14.53"/>
    <n v="244.2"/>
    <n v="125"/>
    <n v="10.99"/>
    <x v="7"/>
    <x v="4"/>
    <x v="7"/>
    <x v="2"/>
    <x v="0"/>
  </r>
  <r>
    <s v="MN"/>
    <x v="13"/>
    <s v="area_code_415"/>
    <x v="0"/>
    <x v="1"/>
    <n v="0"/>
    <n v="234.5"/>
    <n v="113"/>
    <n v="39.869999999999997"/>
    <n v="237.3"/>
    <n v="116"/>
    <n v="20.170000000000002"/>
    <n v="122.7"/>
    <n v="110"/>
    <n v="5.52"/>
    <x v="89"/>
    <x v="0"/>
    <x v="89"/>
    <x v="4"/>
    <x v="0"/>
  </r>
  <r>
    <s v="TX"/>
    <x v="73"/>
    <s v="area_code_510"/>
    <x v="0"/>
    <x v="1"/>
    <n v="0"/>
    <n v="240.2"/>
    <n v="86"/>
    <n v="40.83"/>
    <n v="107.6"/>
    <n v="79"/>
    <n v="9.15"/>
    <n v="156.6"/>
    <n v="121"/>
    <n v="7.05"/>
    <x v="4"/>
    <x v="4"/>
    <x v="4"/>
    <x v="0"/>
    <x v="0"/>
  </r>
  <r>
    <s v="HI"/>
    <x v="73"/>
    <s v="area_code_510"/>
    <x v="0"/>
    <x v="1"/>
    <n v="0"/>
    <n v="222.4"/>
    <n v="105"/>
    <n v="37.81"/>
    <n v="164"/>
    <n v="129"/>
    <n v="13.94"/>
    <n v="233.3"/>
    <n v="113"/>
    <n v="10.5"/>
    <x v="79"/>
    <x v="10"/>
    <x v="79"/>
    <x v="0"/>
    <x v="0"/>
  </r>
  <r>
    <s v="WI"/>
    <x v="139"/>
    <s v="area_code_415"/>
    <x v="0"/>
    <x v="1"/>
    <n v="0"/>
    <n v="113.3"/>
    <n v="137"/>
    <n v="19.260000000000002"/>
    <n v="160.19999999999999"/>
    <n v="103"/>
    <n v="13.62"/>
    <n v="228.8"/>
    <n v="98"/>
    <n v="10.3"/>
    <x v="3"/>
    <x v="2"/>
    <x v="3"/>
    <x v="2"/>
    <x v="0"/>
  </r>
  <r>
    <s v="NV"/>
    <x v="169"/>
    <s v="area_code_408"/>
    <x v="0"/>
    <x v="1"/>
    <n v="0"/>
    <n v="107"/>
    <n v="146"/>
    <n v="18.190000000000001"/>
    <n v="220"/>
    <n v="116"/>
    <n v="18.7"/>
    <n v="149.80000000000001"/>
    <n v="108"/>
    <n v="6.74"/>
    <x v="68"/>
    <x v="0"/>
    <x v="68"/>
    <x v="2"/>
    <x v="0"/>
  </r>
  <r>
    <s v="IL"/>
    <x v="103"/>
    <s v="area_code_415"/>
    <x v="0"/>
    <x v="0"/>
    <n v="31"/>
    <n v="163.19999999999999"/>
    <n v="106"/>
    <n v="27.74"/>
    <n v="267.89999999999998"/>
    <n v="108"/>
    <n v="22.77"/>
    <n v="172.6"/>
    <n v="100"/>
    <n v="7.77"/>
    <x v="84"/>
    <x v="1"/>
    <x v="84"/>
    <x v="0"/>
    <x v="0"/>
  </r>
  <r>
    <s v="MS"/>
    <x v="8"/>
    <s v="area_code_510"/>
    <x v="0"/>
    <x v="1"/>
    <n v="0"/>
    <n v="193.8"/>
    <n v="113"/>
    <n v="32.950000000000003"/>
    <n v="151.69999999999999"/>
    <n v="106"/>
    <n v="12.89"/>
    <n v="208.9"/>
    <n v="94"/>
    <n v="9.4"/>
    <x v="44"/>
    <x v="0"/>
    <x v="44"/>
    <x v="3"/>
    <x v="0"/>
  </r>
  <r>
    <s v="MA"/>
    <x v="147"/>
    <s v="area_code_510"/>
    <x v="0"/>
    <x v="1"/>
    <n v="0"/>
    <n v="143.69999999999999"/>
    <n v="82"/>
    <n v="24.43"/>
    <n v="170.9"/>
    <n v="83"/>
    <n v="14.53"/>
    <n v="310.89999999999998"/>
    <n v="112"/>
    <n v="13.99"/>
    <x v="52"/>
    <x v="8"/>
    <x v="52"/>
    <x v="2"/>
    <x v="0"/>
  </r>
  <r>
    <s v="OR"/>
    <x v="116"/>
    <s v="area_code_415"/>
    <x v="1"/>
    <x v="1"/>
    <n v="0"/>
    <n v="169.5"/>
    <n v="117"/>
    <n v="28.82"/>
    <n v="212"/>
    <n v="111"/>
    <n v="18.02"/>
    <n v="204"/>
    <n v="120"/>
    <n v="9.18"/>
    <x v="84"/>
    <x v="8"/>
    <x v="84"/>
    <x v="1"/>
    <x v="1"/>
  </r>
  <r>
    <s v="AR"/>
    <x v="85"/>
    <s v="area_code_415"/>
    <x v="0"/>
    <x v="0"/>
    <n v="37"/>
    <n v="184.1"/>
    <n v="67"/>
    <n v="31.3"/>
    <n v="159.4"/>
    <n v="104"/>
    <n v="13.55"/>
    <n v="193.3"/>
    <n v="121"/>
    <n v="8.6999999999999993"/>
    <x v="64"/>
    <x v="0"/>
    <x v="64"/>
    <x v="1"/>
    <x v="0"/>
  </r>
  <r>
    <s v="LA"/>
    <x v="18"/>
    <s v="area_code_408"/>
    <x v="0"/>
    <x v="0"/>
    <n v="33"/>
    <n v="154"/>
    <n v="122"/>
    <n v="26.18"/>
    <n v="207.3"/>
    <n v="123"/>
    <n v="17.62"/>
    <n v="186.2"/>
    <n v="105"/>
    <n v="8.3800000000000008"/>
    <x v="81"/>
    <x v="10"/>
    <x v="81"/>
    <x v="0"/>
    <x v="0"/>
  </r>
  <r>
    <s v="NJ"/>
    <x v="4"/>
    <s v="area_code_415"/>
    <x v="0"/>
    <x v="1"/>
    <n v="0"/>
    <n v="166.3"/>
    <n v="114"/>
    <n v="28.27"/>
    <n v="138.80000000000001"/>
    <n v="130"/>
    <n v="11.8"/>
    <n v="215.3"/>
    <n v="108"/>
    <n v="9.69"/>
    <x v="91"/>
    <x v="11"/>
    <x v="91"/>
    <x v="2"/>
    <x v="0"/>
  </r>
  <r>
    <s v="MT"/>
    <x v="65"/>
    <s v="area_code_415"/>
    <x v="0"/>
    <x v="1"/>
    <n v="0"/>
    <n v="108.6"/>
    <n v="128"/>
    <n v="18.46"/>
    <n v="325.2"/>
    <n v="97"/>
    <n v="27.64"/>
    <n v="173.6"/>
    <n v="67"/>
    <n v="7.81"/>
    <x v="38"/>
    <x v="3"/>
    <x v="38"/>
    <x v="1"/>
    <x v="0"/>
  </r>
  <r>
    <s v="MD"/>
    <x v="69"/>
    <s v="area_code_415"/>
    <x v="0"/>
    <x v="0"/>
    <n v="25"/>
    <n v="230.3"/>
    <n v="82"/>
    <n v="39.15"/>
    <n v="165.6"/>
    <n v="96"/>
    <n v="14.08"/>
    <n v="227.7"/>
    <n v="125"/>
    <n v="10.25"/>
    <x v="62"/>
    <x v="5"/>
    <x v="62"/>
    <x v="0"/>
    <x v="0"/>
  </r>
  <r>
    <s v="CT"/>
    <x v="33"/>
    <s v="area_code_415"/>
    <x v="0"/>
    <x v="0"/>
    <n v="46"/>
    <n v="200.1"/>
    <n v="44"/>
    <n v="34.020000000000003"/>
    <n v="126"/>
    <n v="78"/>
    <n v="10.71"/>
    <n v="146.30000000000001"/>
    <n v="123"/>
    <n v="6.58"/>
    <x v="15"/>
    <x v="1"/>
    <x v="15"/>
    <x v="0"/>
    <x v="0"/>
  </r>
  <r>
    <s v="OH"/>
    <x v="55"/>
    <s v="area_code_415"/>
    <x v="0"/>
    <x v="1"/>
    <n v="0"/>
    <n v="179.2"/>
    <n v="95"/>
    <n v="30.46"/>
    <n v="228.9"/>
    <n v="95"/>
    <n v="19.46"/>
    <n v="187.7"/>
    <n v="100"/>
    <n v="8.4499999999999993"/>
    <x v="32"/>
    <x v="5"/>
    <x v="32"/>
    <x v="0"/>
    <x v="0"/>
  </r>
  <r>
    <s v="NV"/>
    <x v="77"/>
    <s v="area_code_510"/>
    <x v="0"/>
    <x v="1"/>
    <n v="0"/>
    <n v="129.5"/>
    <n v="94"/>
    <n v="22.02"/>
    <n v="92.6"/>
    <n v="96"/>
    <n v="7.87"/>
    <n v="154.30000000000001"/>
    <n v="110"/>
    <n v="6.94"/>
    <x v="79"/>
    <x v="1"/>
    <x v="79"/>
    <x v="3"/>
    <x v="0"/>
  </r>
  <r>
    <s v="KS"/>
    <x v="13"/>
    <s v="area_code_408"/>
    <x v="0"/>
    <x v="1"/>
    <n v="0"/>
    <n v="164"/>
    <n v="111"/>
    <n v="27.88"/>
    <n v="229.4"/>
    <n v="108"/>
    <n v="19.5"/>
    <n v="220.7"/>
    <n v="105"/>
    <n v="9.93"/>
    <x v="38"/>
    <x v="5"/>
    <x v="38"/>
    <x v="0"/>
    <x v="0"/>
  </r>
  <r>
    <s v="TX"/>
    <x v="57"/>
    <s v="area_code_415"/>
    <x v="0"/>
    <x v="1"/>
    <n v="0"/>
    <n v="230.7"/>
    <n v="117"/>
    <n v="39.22"/>
    <n v="186.2"/>
    <n v="84"/>
    <n v="15.83"/>
    <n v="182.2"/>
    <n v="109"/>
    <n v="8.1999999999999993"/>
    <x v="29"/>
    <x v="4"/>
    <x v="29"/>
    <x v="2"/>
    <x v="0"/>
  </r>
  <r>
    <s v="MN"/>
    <x v="133"/>
    <s v="area_code_408"/>
    <x v="0"/>
    <x v="1"/>
    <n v="0"/>
    <n v="207.2"/>
    <n v="90"/>
    <n v="35.22"/>
    <n v="178.6"/>
    <n v="76"/>
    <n v="15.18"/>
    <n v="182"/>
    <n v="74"/>
    <n v="8.19"/>
    <x v="77"/>
    <x v="13"/>
    <x v="77"/>
    <x v="1"/>
    <x v="0"/>
  </r>
  <r>
    <s v="MT"/>
    <x v="158"/>
    <s v="area_code_408"/>
    <x v="0"/>
    <x v="1"/>
    <n v="0"/>
    <n v="171.9"/>
    <n v="99"/>
    <n v="29.22"/>
    <n v="249.2"/>
    <n v="95"/>
    <n v="21.18"/>
    <n v="174.9"/>
    <n v="81"/>
    <n v="7.87"/>
    <x v="60"/>
    <x v="4"/>
    <x v="60"/>
    <x v="0"/>
    <x v="0"/>
  </r>
  <r>
    <s v="AK"/>
    <x v="105"/>
    <s v="area_code_415"/>
    <x v="0"/>
    <x v="0"/>
    <n v="37"/>
    <n v="181.7"/>
    <n v="88"/>
    <n v="30.89"/>
    <n v="237.4"/>
    <n v="106"/>
    <n v="20.18"/>
    <n v="209.1"/>
    <n v="111"/>
    <n v="9.41"/>
    <x v="17"/>
    <x v="1"/>
    <x v="17"/>
    <x v="2"/>
    <x v="0"/>
  </r>
  <r>
    <s v="HI"/>
    <x v="162"/>
    <s v="area_code_408"/>
    <x v="0"/>
    <x v="1"/>
    <n v="0"/>
    <n v="240.7"/>
    <n v="119"/>
    <n v="40.92"/>
    <n v="141.1"/>
    <n v="102"/>
    <n v="11.99"/>
    <n v="120.6"/>
    <n v="56"/>
    <n v="5.43"/>
    <x v="18"/>
    <x v="5"/>
    <x v="18"/>
    <x v="2"/>
    <x v="0"/>
  </r>
  <r>
    <s v="TX"/>
    <x v="119"/>
    <s v="area_code_510"/>
    <x v="0"/>
    <x v="1"/>
    <n v="0"/>
    <n v="198.2"/>
    <n v="108"/>
    <n v="33.69"/>
    <n v="181"/>
    <n v="70"/>
    <n v="15.39"/>
    <n v="238.9"/>
    <n v="86"/>
    <n v="10.75"/>
    <x v="47"/>
    <x v="5"/>
    <x v="47"/>
    <x v="0"/>
    <x v="0"/>
  </r>
  <r>
    <s v="ID"/>
    <x v="8"/>
    <s v="area_code_408"/>
    <x v="0"/>
    <x v="1"/>
    <n v="0"/>
    <n v="96"/>
    <n v="95"/>
    <n v="16.32"/>
    <n v="117"/>
    <n v="82"/>
    <n v="9.9499999999999993"/>
    <n v="172.9"/>
    <n v="114"/>
    <n v="7.78"/>
    <x v="92"/>
    <x v="0"/>
    <x v="92"/>
    <x v="3"/>
    <x v="0"/>
  </r>
  <r>
    <s v="KY"/>
    <x v="101"/>
    <s v="area_code_510"/>
    <x v="0"/>
    <x v="1"/>
    <n v="0"/>
    <n v="171.5"/>
    <n v="75"/>
    <n v="29.16"/>
    <n v="224.5"/>
    <n v="111"/>
    <n v="19.079999999999998"/>
    <n v="187.4"/>
    <n v="84"/>
    <n v="8.43"/>
    <x v="84"/>
    <x v="3"/>
    <x v="84"/>
    <x v="0"/>
    <x v="0"/>
  </r>
  <r>
    <s v="AR"/>
    <x v="145"/>
    <s v="area_code_415"/>
    <x v="0"/>
    <x v="0"/>
    <n v="27"/>
    <n v="111.7"/>
    <n v="68"/>
    <n v="18.989999999999998"/>
    <n v="252.8"/>
    <n v="106"/>
    <n v="21.49"/>
    <n v="255.5"/>
    <n v="109"/>
    <n v="11.5"/>
    <x v="35"/>
    <x v="4"/>
    <x v="35"/>
    <x v="0"/>
    <x v="0"/>
  </r>
  <r>
    <s v="OR"/>
    <x v="108"/>
    <s v="area_code_510"/>
    <x v="0"/>
    <x v="1"/>
    <n v="0"/>
    <n v="152.69999999999999"/>
    <n v="98"/>
    <n v="25.96"/>
    <n v="212.4"/>
    <n v="73"/>
    <n v="18.05"/>
    <n v="264.5"/>
    <n v="90"/>
    <n v="11.9"/>
    <x v="57"/>
    <x v="0"/>
    <x v="57"/>
    <x v="2"/>
    <x v="0"/>
  </r>
  <r>
    <s v="MN"/>
    <x v="55"/>
    <s v="area_code_415"/>
    <x v="0"/>
    <x v="1"/>
    <n v="0"/>
    <n v="194.7"/>
    <n v="105"/>
    <n v="33.1"/>
    <n v="210.9"/>
    <n v="100"/>
    <n v="17.93"/>
    <n v="236.9"/>
    <n v="143"/>
    <n v="10.66"/>
    <x v="43"/>
    <x v="0"/>
    <x v="43"/>
    <x v="3"/>
    <x v="0"/>
  </r>
  <r>
    <s v="HI"/>
    <x v="144"/>
    <s v="area_code_415"/>
    <x v="0"/>
    <x v="1"/>
    <n v="0"/>
    <n v="119.9"/>
    <n v="108"/>
    <n v="20.38"/>
    <n v="240.7"/>
    <n v="82"/>
    <n v="20.46"/>
    <n v="151.1"/>
    <n v="124"/>
    <n v="6.8"/>
    <x v="111"/>
    <x v="2"/>
    <x v="111"/>
    <x v="3"/>
    <x v="0"/>
  </r>
  <r>
    <s v="LA"/>
    <x v="78"/>
    <s v="area_code_415"/>
    <x v="0"/>
    <x v="1"/>
    <n v="0"/>
    <n v="222.9"/>
    <n v="129"/>
    <n v="37.89"/>
    <n v="205"/>
    <n v="87"/>
    <n v="17.43"/>
    <n v="141.30000000000001"/>
    <n v="99"/>
    <n v="6.36"/>
    <x v="79"/>
    <x v="5"/>
    <x v="79"/>
    <x v="0"/>
    <x v="0"/>
  </r>
  <r>
    <s v="RI"/>
    <x v="137"/>
    <s v="area_code_415"/>
    <x v="0"/>
    <x v="1"/>
    <n v="0"/>
    <n v="210.7"/>
    <n v="46"/>
    <n v="35.82"/>
    <n v="215.6"/>
    <n v="116"/>
    <n v="18.329999999999998"/>
    <n v="170.4"/>
    <n v="79"/>
    <n v="7.67"/>
    <x v="32"/>
    <x v="0"/>
    <x v="32"/>
    <x v="0"/>
    <x v="0"/>
  </r>
  <r>
    <s v="MD"/>
    <x v="43"/>
    <s v="area_code_408"/>
    <x v="0"/>
    <x v="1"/>
    <n v="0"/>
    <n v="254.6"/>
    <n v="107"/>
    <n v="43.28"/>
    <n v="249.4"/>
    <n v="89"/>
    <n v="21.2"/>
    <n v="229.6"/>
    <n v="77"/>
    <n v="10.33"/>
    <x v="62"/>
    <x v="16"/>
    <x v="62"/>
    <x v="2"/>
    <x v="1"/>
  </r>
  <r>
    <s v="MS"/>
    <x v="141"/>
    <s v="area_code_415"/>
    <x v="0"/>
    <x v="1"/>
    <n v="0"/>
    <n v="265"/>
    <n v="100"/>
    <n v="45.05"/>
    <n v="147.6"/>
    <n v="89"/>
    <n v="12.55"/>
    <n v="247.7"/>
    <n v="94"/>
    <n v="11.15"/>
    <x v="85"/>
    <x v="0"/>
    <x v="85"/>
    <x v="0"/>
    <x v="0"/>
  </r>
  <r>
    <s v="TN"/>
    <x v="67"/>
    <s v="area_code_408"/>
    <x v="0"/>
    <x v="1"/>
    <n v="0"/>
    <n v="172.3"/>
    <n v="135"/>
    <n v="29.29"/>
    <n v="318.7"/>
    <n v="95"/>
    <n v="27.09"/>
    <n v="131.5"/>
    <n v="104"/>
    <n v="5.92"/>
    <x v="73"/>
    <x v="4"/>
    <x v="73"/>
    <x v="3"/>
    <x v="0"/>
  </r>
  <r>
    <s v="ID"/>
    <x v="53"/>
    <s v="area_code_415"/>
    <x v="0"/>
    <x v="1"/>
    <n v="0"/>
    <n v="259.10000000000002"/>
    <n v="140"/>
    <n v="44.05"/>
    <n v="124"/>
    <n v="119"/>
    <n v="10.54"/>
    <n v="188.3"/>
    <n v="79"/>
    <n v="8.4700000000000006"/>
    <x v="75"/>
    <x v="0"/>
    <x v="75"/>
    <x v="1"/>
    <x v="0"/>
  </r>
  <r>
    <s v="GA"/>
    <x v="17"/>
    <s v="area_code_415"/>
    <x v="0"/>
    <x v="1"/>
    <n v="0"/>
    <n v="211.4"/>
    <n v="91"/>
    <n v="35.94"/>
    <n v="191"/>
    <n v="62"/>
    <n v="16.239999999999998"/>
    <n v="207.3"/>
    <n v="109"/>
    <n v="9.33"/>
    <x v="43"/>
    <x v="0"/>
    <x v="43"/>
    <x v="0"/>
    <x v="0"/>
  </r>
  <r>
    <s v="KS"/>
    <x v="4"/>
    <s v="area_code_408"/>
    <x v="1"/>
    <x v="1"/>
    <n v="0"/>
    <n v="175.9"/>
    <n v="87"/>
    <n v="29.9"/>
    <n v="225.3"/>
    <n v="114"/>
    <n v="19.149999999999999"/>
    <n v="156.19999999999999"/>
    <n v="113"/>
    <n v="7.03"/>
    <x v="91"/>
    <x v="0"/>
    <x v="91"/>
    <x v="2"/>
    <x v="0"/>
  </r>
  <r>
    <s v="WV"/>
    <x v="60"/>
    <s v="area_code_415"/>
    <x v="1"/>
    <x v="0"/>
    <n v="39"/>
    <n v="115.5"/>
    <n v="90"/>
    <n v="19.64"/>
    <n v="122.5"/>
    <n v="99"/>
    <n v="10.41"/>
    <n v="197.7"/>
    <n v="110"/>
    <n v="8.9"/>
    <x v="99"/>
    <x v="0"/>
    <x v="99"/>
    <x v="1"/>
    <x v="0"/>
  </r>
  <r>
    <s v="MS"/>
    <x v="14"/>
    <s v="area_code_408"/>
    <x v="0"/>
    <x v="1"/>
    <n v="0"/>
    <n v="193"/>
    <n v="82"/>
    <n v="32.81"/>
    <n v="200.8"/>
    <n v="109"/>
    <n v="17.07"/>
    <n v="135.9"/>
    <n v="79"/>
    <n v="6.12"/>
    <x v="90"/>
    <x v="0"/>
    <x v="90"/>
    <x v="1"/>
    <x v="0"/>
  </r>
  <r>
    <s v="MS"/>
    <x v="155"/>
    <s v="area_code_510"/>
    <x v="0"/>
    <x v="1"/>
    <n v="0"/>
    <n v="167.4"/>
    <n v="105"/>
    <n v="28.46"/>
    <n v="121.5"/>
    <n v="142"/>
    <n v="10.33"/>
    <n v="209.3"/>
    <n v="83"/>
    <n v="9.42"/>
    <x v="106"/>
    <x v="5"/>
    <x v="106"/>
    <x v="0"/>
    <x v="0"/>
  </r>
  <r>
    <s v="SC"/>
    <x v="6"/>
    <s v="area_code_415"/>
    <x v="0"/>
    <x v="0"/>
    <n v="35"/>
    <n v="190.7"/>
    <n v="100"/>
    <n v="32.42"/>
    <n v="209.7"/>
    <n v="107"/>
    <n v="17.82"/>
    <n v="202.5"/>
    <n v="101"/>
    <n v="9.11"/>
    <x v="70"/>
    <x v="1"/>
    <x v="70"/>
    <x v="0"/>
    <x v="0"/>
  </r>
  <r>
    <s v="KS"/>
    <x v="58"/>
    <s v="area_code_415"/>
    <x v="0"/>
    <x v="1"/>
    <n v="0"/>
    <n v="325.5"/>
    <n v="128"/>
    <n v="55.34"/>
    <n v="300.3"/>
    <n v="105"/>
    <n v="25.53"/>
    <n v="199.8"/>
    <n v="93"/>
    <n v="8.99"/>
    <x v="16"/>
    <x v="2"/>
    <x v="16"/>
    <x v="0"/>
    <x v="1"/>
  </r>
  <r>
    <s v="ID"/>
    <x v="17"/>
    <s v="area_code_415"/>
    <x v="0"/>
    <x v="1"/>
    <n v="0"/>
    <n v="139"/>
    <n v="98"/>
    <n v="23.63"/>
    <n v="120.2"/>
    <n v="116"/>
    <n v="10.220000000000001"/>
    <n v="160.4"/>
    <n v="113"/>
    <n v="7.22"/>
    <x v="25"/>
    <x v="5"/>
    <x v="25"/>
    <x v="3"/>
    <x v="0"/>
  </r>
  <r>
    <s v="AK"/>
    <x v="143"/>
    <s v="area_code_415"/>
    <x v="0"/>
    <x v="0"/>
    <n v="40"/>
    <n v="155.9"/>
    <n v="110"/>
    <n v="26.5"/>
    <n v="161.19999999999999"/>
    <n v="99"/>
    <n v="13.7"/>
    <n v="229.2"/>
    <n v="81"/>
    <n v="10.31"/>
    <x v="73"/>
    <x v="15"/>
    <x v="73"/>
    <x v="1"/>
    <x v="0"/>
  </r>
  <r>
    <s v="MS"/>
    <x v="85"/>
    <s v="area_code_415"/>
    <x v="0"/>
    <x v="1"/>
    <n v="0"/>
    <n v="182.1"/>
    <n v="97"/>
    <n v="30.96"/>
    <n v="231.1"/>
    <n v="76"/>
    <n v="19.64"/>
    <n v="246.2"/>
    <n v="103"/>
    <n v="11.08"/>
    <x v="51"/>
    <x v="5"/>
    <x v="51"/>
    <x v="1"/>
    <x v="0"/>
  </r>
  <r>
    <s v="NY"/>
    <x v="113"/>
    <s v="area_code_408"/>
    <x v="0"/>
    <x v="1"/>
    <n v="0"/>
    <n v="139.80000000000001"/>
    <n v="152"/>
    <n v="23.77"/>
    <n v="215.9"/>
    <n v="76"/>
    <n v="18.350000000000001"/>
    <n v="96.9"/>
    <n v="111"/>
    <n v="4.3600000000000003"/>
    <x v="57"/>
    <x v="11"/>
    <x v="57"/>
    <x v="2"/>
    <x v="0"/>
  </r>
  <r>
    <s v="OH"/>
    <x v="29"/>
    <s v="area_code_510"/>
    <x v="0"/>
    <x v="1"/>
    <n v="0"/>
    <n v="112.7"/>
    <n v="123"/>
    <n v="19.16"/>
    <n v="280"/>
    <n v="90"/>
    <n v="23.8"/>
    <n v="251.9"/>
    <n v="110"/>
    <n v="11.34"/>
    <x v="91"/>
    <x v="5"/>
    <x v="91"/>
    <x v="1"/>
    <x v="0"/>
  </r>
  <r>
    <s v="DE"/>
    <x v="134"/>
    <s v="area_code_415"/>
    <x v="0"/>
    <x v="0"/>
    <n v="31"/>
    <n v="173.2"/>
    <n v="98"/>
    <n v="29.44"/>
    <n v="149.5"/>
    <n v="123"/>
    <n v="12.71"/>
    <n v="245.7"/>
    <n v="91"/>
    <n v="11.06"/>
    <x v="73"/>
    <x v="2"/>
    <x v="73"/>
    <x v="0"/>
    <x v="0"/>
  </r>
  <r>
    <s v="RI"/>
    <x v="106"/>
    <s v="area_code_408"/>
    <x v="0"/>
    <x v="1"/>
    <n v="0"/>
    <n v="225.6"/>
    <n v="102"/>
    <n v="38.35"/>
    <n v="225.8"/>
    <n v="56"/>
    <n v="19.190000000000001"/>
    <n v="186.7"/>
    <n v="128"/>
    <n v="8.4"/>
    <x v="92"/>
    <x v="5"/>
    <x v="92"/>
    <x v="0"/>
    <x v="0"/>
  </r>
  <r>
    <s v="NE"/>
    <x v="126"/>
    <s v="area_code_415"/>
    <x v="1"/>
    <x v="1"/>
    <n v="0"/>
    <n v="195.7"/>
    <n v="123"/>
    <n v="33.270000000000003"/>
    <n v="141.9"/>
    <n v="124"/>
    <n v="12.06"/>
    <n v="136.4"/>
    <n v="72"/>
    <n v="6.14"/>
    <x v="57"/>
    <x v="3"/>
    <x v="57"/>
    <x v="0"/>
    <x v="0"/>
  </r>
  <r>
    <s v="HI"/>
    <x v="20"/>
    <s v="area_code_415"/>
    <x v="0"/>
    <x v="1"/>
    <n v="0"/>
    <n v="214"/>
    <n v="100"/>
    <n v="36.380000000000003"/>
    <n v="209.9"/>
    <n v="80"/>
    <n v="17.84"/>
    <n v="105.1"/>
    <n v="112"/>
    <n v="4.7300000000000004"/>
    <x v="61"/>
    <x v="8"/>
    <x v="61"/>
    <x v="1"/>
    <x v="0"/>
  </r>
  <r>
    <s v="NM"/>
    <x v="118"/>
    <s v="area_code_415"/>
    <x v="0"/>
    <x v="1"/>
    <n v="0"/>
    <n v="271.7"/>
    <n v="67"/>
    <n v="46.19"/>
    <n v="189.1"/>
    <n v="155"/>
    <n v="16.07"/>
    <n v="101.1"/>
    <n v="55"/>
    <n v="4.55"/>
    <x v="110"/>
    <x v="1"/>
    <x v="110"/>
    <x v="0"/>
    <x v="0"/>
  </r>
  <r>
    <s v="UT"/>
    <x v="0"/>
    <s v="area_code_510"/>
    <x v="0"/>
    <x v="1"/>
    <n v="0"/>
    <n v="257.7"/>
    <n v="98"/>
    <n v="43.81"/>
    <n v="156.5"/>
    <n v="84"/>
    <n v="13.3"/>
    <n v="104.4"/>
    <n v="123"/>
    <n v="4.7"/>
    <x v="52"/>
    <x v="0"/>
    <x v="52"/>
    <x v="0"/>
    <x v="0"/>
  </r>
  <r>
    <s v="MD"/>
    <x v="78"/>
    <s v="area_code_415"/>
    <x v="1"/>
    <x v="1"/>
    <n v="0"/>
    <n v="133.19999999999999"/>
    <n v="90"/>
    <n v="22.64"/>
    <n v="236.8"/>
    <n v="70"/>
    <n v="20.13"/>
    <n v="214.1"/>
    <n v="120"/>
    <n v="9.6300000000000008"/>
    <x v="60"/>
    <x v="5"/>
    <x v="60"/>
    <x v="0"/>
    <x v="1"/>
  </r>
  <r>
    <s v="IA"/>
    <x v="68"/>
    <s v="area_code_415"/>
    <x v="0"/>
    <x v="1"/>
    <n v="0"/>
    <n v="248.7"/>
    <n v="113"/>
    <n v="42.28"/>
    <n v="251.8"/>
    <n v="79"/>
    <n v="21.4"/>
    <n v="262.7"/>
    <n v="46"/>
    <n v="11.82"/>
    <x v="4"/>
    <x v="0"/>
    <x v="4"/>
    <x v="5"/>
    <x v="1"/>
  </r>
  <r>
    <s v="KY"/>
    <x v="64"/>
    <s v="area_code_408"/>
    <x v="0"/>
    <x v="1"/>
    <n v="0"/>
    <n v="180.8"/>
    <n v="93"/>
    <n v="30.74"/>
    <n v="190.1"/>
    <n v="82"/>
    <n v="16.16"/>
    <n v="192.3"/>
    <n v="66"/>
    <n v="8.65"/>
    <x v="26"/>
    <x v="2"/>
    <x v="26"/>
    <x v="2"/>
    <x v="0"/>
  </r>
  <r>
    <s v="VT"/>
    <x v="40"/>
    <s v="area_code_415"/>
    <x v="1"/>
    <x v="0"/>
    <n v="32"/>
    <n v="229"/>
    <n v="80"/>
    <n v="38.93"/>
    <n v="221"/>
    <n v="113"/>
    <n v="18.79"/>
    <n v="291.39999999999998"/>
    <n v="91"/>
    <n v="13.11"/>
    <x v="70"/>
    <x v="1"/>
    <x v="70"/>
    <x v="0"/>
    <x v="0"/>
  </r>
  <r>
    <s v="NM"/>
    <x v="27"/>
    <s v="area_code_408"/>
    <x v="0"/>
    <x v="1"/>
    <n v="0"/>
    <n v="276.3"/>
    <n v="94"/>
    <n v="46.97"/>
    <n v="226"/>
    <n v="125"/>
    <n v="19.21"/>
    <n v="221.4"/>
    <n v="87"/>
    <n v="9.9600000000000009"/>
    <x v="68"/>
    <x v="8"/>
    <x v="68"/>
    <x v="0"/>
    <x v="1"/>
  </r>
  <r>
    <s v="VT"/>
    <x v="82"/>
    <s v="area_code_510"/>
    <x v="0"/>
    <x v="0"/>
    <n v="37"/>
    <n v="133.1"/>
    <n v="117"/>
    <n v="22.63"/>
    <n v="171.4"/>
    <n v="89"/>
    <n v="14.57"/>
    <n v="218.1"/>
    <n v="92"/>
    <n v="9.81"/>
    <x v="54"/>
    <x v="4"/>
    <x v="54"/>
    <x v="3"/>
    <x v="0"/>
  </r>
  <r>
    <s v="PA"/>
    <x v="1"/>
    <s v="area_code_415"/>
    <x v="0"/>
    <x v="1"/>
    <n v="0"/>
    <n v="248.3"/>
    <n v="63"/>
    <n v="42.21"/>
    <n v="250.4"/>
    <n v="108"/>
    <n v="21.28"/>
    <n v="159.1"/>
    <n v="94"/>
    <n v="7.16"/>
    <x v="63"/>
    <x v="4"/>
    <x v="63"/>
    <x v="0"/>
    <x v="0"/>
  </r>
  <r>
    <s v="VT"/>
    <x v="67"/>
    <s v="area_code_415"/>
    <x v="0"/>
    <x v="0"/>
    <n v="37"/>
    <n v="230.4"/>
    <n v="95"/>
    <n v="39.17"/>
    <n v="155.5"/>
    <n v="89"/>
    <n v="13.22"/>
    <n v="179"/>
    <n v="90"/>
    <n v="8.06"/>
    <x v="91"/>
    <x v="6"/>
    <x v="91"/>
    <x v="3"/>
    <x v="0"/>
  </r>
  <r>
    <s v="OR"/>
    <x v="78"/>
    <s v="area_code_408"/>
    <x v="0"/>
    <x v="1"/>
    <n v="0"/>
    <n v="185.8"/>
    <n v="118"/>
    <n v="31.59"/>
    <n v="86.8"/>
    <n v="84"/>
    <n v="7.38"/>
    <n v="208.4"/>
    <n v="115"/>
    <n v="9.3800000000000008"/>
    <x v="85"/>
    <x v="6"/>
    <x v="85"/>
    <x v="0"/>
    <x v="0"/>
  </r>
  <r>
    <s v="CA"/>
    <x v="39"/>
    <s v="area_code_415"/>
    <x v="0"/>
    <x v="1"/>
    <n v="0"/>
    <n v="183.9"/>
    <n v="88"/>
    <n v="31.26"/>
    <n v="109.2"/>
    <n v="86"/>
    <n v="9.2799999999999994"/>
    <n v="190.2"/>
    <n v="78"/>
    <n v="8.56"/>
    <x v="155"/>
    <x v="2"/>
    <x v="155"/>
    <x v="2"/>
    <x v="0"/>
  </r>
  <r>
    <s v="NY"/>
    <x v="16"/>
    <s v="area_code_415"/>
    <x v="1"/>
    <x v="1"/>
    <n v="0"/>
    <n v="132.9"/>
    <n v="86"/>
    <n v="22.59"/>
    <n v="168.1"/>
    <n v="121"/>
    <n v="14.29"/>
    <n v="196.3"/>
    <n v="102"/>
    <n v="8.83"/>
    <x v="35"/>
    <x v="0"/>
    <x v="35"/>
    <x v="1"/>
    <x v="0"/>
  </r>
  <r>
    <s v="NM"/>
    <x v="43"/>
    <s v="area_code_510"/>
    <x v="0"/>
    <x v="1"/>
    <n v="0"/>
    <n v="179"/>
    <n v="81"/>
    <n v="30.43"/>
    <n v="200"/>
    <n v="116"/>
    <n v="17"/>
    <n v="168.6"/>
    <n v="74"/>
    <n v="7.59"/>
    <x v="74"/>
    <x v="2"/>
    <x v="74"/>
    <x v="0"/>
    <x v="0"/>
  </r>
  <r>
    <s v="MN"/>
    <x v="39"/>
    <s v="area_code_408"/>
    <x v="1"/>
    <x v="1"/>
    <n v="0"/>
    <n v="188.8"/>
    <n v="119"/>
    <n v="32.1"/>
    <n v="216.9"/>
    <n v="100"/>
    <n v="18.440000000000001"/>
    <n v="208.5"/>
    <n v="116"/>
    <n v="9.3800000000000008"/>
    <x v="41"/>
    <x v="0"/>
    <x v="41"/>
    <x v="3"/>
    <x v="0"/>
  </r>
  <r>
    <s v="CT"/>
    <x v="37"/>
    <s v="area_code_415"/>
    <x v="1"/>
    <x v="0"/>
    <n v="45"/>
    <n v="135.6"/>
    <n v="101"/>
    <n v="23.05"/>
    <n v="94.9"/>
    <n v="73"/>
    <n v="8.07"/>
    <n v="154"/>
    <n v="118"/>
    <n v="6.93"/>
    <x v="52"/>
    <x v="0"/>
    <x v="52"/>
    <x v="4"/>
    <x v="1"/>
  </r>
  <r>
    <s v="IA"/>
    <x v="102"/>
    <s v="area_code_408"/>
    <x v="1"/>
    <x v="0"/>
    <n v="31"/>
    <n v="172.5"/>
    <n v="103"/>
    <n v="29.33"/>
    <n v="113.6"/>
    <n v="102"/>
    <n v="9.66"/>
    <n v="261.60000000000002"/>
    <n v="104"/>
    <n v="11.77"/>
    <x v="81"/>
    <x v="4"/>
    <x v="81"/>
    <x v="2"/>
    <x v="0"/>
  </r>
  <r>
    <s v="NJ"/>
    <x v="0"/>
    <s v="area_code_510"/>
    <x v="0"/>
    <x v="1"/>
    <n v="0"/>
    <n v="156.30000000000001"/>
    <n v="75"/>
    <n v="26.57"/>
    <n v="215.3"/>
    <n v="93"/>
    <n v="18.3"/>
    <n v="118.2"/>
    <n v="115"/>
    <n v="5.32"/>
    <x v="82"/>
    <x v="5"/>
    <x v="82"/>
    <x v="0"/>
    <x v="0"/>
  </r>
  <r>
    <s v="CA"/>
    <x v="112"/>
    <s v="area_code_415"/>
    <x v="0"/>
    <x v="1"/>
    <n v="0"/>
    <n v="234.6"/>
    <n v="102"/>
    <n v="39.880000000000003"/>
    <n v="268.3"/>
    <n v="109"/>
    <n v="22.81"/>
    <n v="195.6"/>
    <n v="102"/>
    <n v="8.8000000000000007"/>
    <x v="43"/>
    <x v="4"/>
    <x v="43"/>
    <x v="0"/>
    <x v="1"/>
  </r>
  <r>
    <s v="VT"/>
    <x v="85"/>
    <s v="area_code_415"/>
    <x v="0"/>
    <x v="1"/>
    <n v="0"/>
    <n v="202.1"/>
    <n v="95"/>
    <n v="34.36"/>
    <n v="231.6"/>
    <n v="89"/>
    <n v="19.690000000000001"/>
    <n v="214.6"/>
    <n v="165"/>
    <n v="9.66"/>
    <x v="67"/>
    <x v="2"/>
    <x v="67"/>
    <x v="0"/>
    <x v="0"/>
  </r>
  <r>
    <s v="TN"/>
    <x v="59"/>
    <s v="area_code_510"/>
    <x v="0"/>
    <x v="0"/>
    <n v="40"/>
    <n v="272.2"/>
    <n v="112"/>
    <n v="46.27"/>
    <n v="239.9"/>
    <n v="111"/>
    <n v="20.39"/>
    <n v="257.3"/>
    <n v="124"/>
    <n v="11.58"/>
    <x v="43"/>
    <x v="5"/>
    <x v="43"/>
    <x v="0"/>
    <x v="0"/>
  </r>
  <r>
    <s v="SD"/>
    <x v="35"/>
    <s v="area_code_415"/>
    <x v="0"/>
    <x v="1"/>
    <n v="0"/>
    <n v="245.2"/>
    <n v="109"/>
    <n v="41.68"/>
    <n v="165.5"/>
    <n v="152"/>
    <n v="14.07"/>
    <n v="159.19999999999999"/>
    <n v="96"/>
    <n v="7.16"/>
    <x v="9"/>
    <x v="10"/>
    <x v="9"/>
    <x v="0"/>
    <x v="0"/>
  </r>
  <r>
    <s v="CO"/>
    <x v="53"/>
    <s v="area_code_415"/>
    <x v="0"/>
    <x v="1"/>
    <n v="0"/>
    <n v="207.6"/>
    <n v="82"/>
    <n v="35.29"/>
    <n v="193.3"/>
    <n v="105"/>
    <n v="16.43"/>
    <n v="149.69999999999999"/>
    <n v="68"/>
    <n v="6.74"/>
    <x v="7"/>
    <x v="3"/>
    <x v="7"/>
    <x v="0"/>
    <x v="0"/>
  </r>
  <r>
    <s v="KY"/>
    <x v="110"/>
    <s v="area_code_415"/>
    <x v="0"/>
    <x v="1"/>
    <n v="0"/>
    <n v="222.9"/>
    <n v="97"/>
    <n v="37.89"/>
    <n v="172.6"/>
    <n v="91"/>
    <n v="14.67"/>
    <n v="187.6"/>
    <n v="99"/>
    <n v="8.44"/>
    <x v="3"/>
    <x v="0"/>
    <x v="3"/>
    <x v="0"/>
    <x v="0"/>
  </r>
  <r>
    <s v="IA"/>
    <x v="4"/>
    <s v="area_code_415"/>
    <x v="0"/>
    <x v="1"/>
    <n v="0"/>
    <n v="273.8"/>
    <n v="96"/>
    <n v="46.55"/>
    <n v="263.10000000000002"/>
    <n v="106"/>
    <n v="22.36"/>
    <n v="201.5"/>
    <n v="83"/>
    <n v="9.07"/>
    <x v="81"/>
    <x v="0"/>
    <x v="81"/>
    <x v="0"/>
    <x v="1"/>
  </r>
  <r>
    <s v="CT"/>
    <x v="162"/>
    <s v="area_code_510"/>
    <x v="0"/>
    <x v="1"/>
    <n v="0"/>
    <n v="192.8"/>
    <n v="98"/>
    <n v="32.78"/>
    <n v="273.2"/>
    <n v="125"/>
    <n v="23.22"/>
    <n v="266.3"/>
    <n v="102"/>
    <n v="11.98"/>
    <x v="37"/>
    <x v="3"/>
    <x v="37"/>
    <x v="2"/>
    <x v="0"/>
  </r>
  <r>
    <s v="MA"/>
    <x v="82"/>
    <s v="area_code_510"/>
    <x v="0"/>
    <x v="1"/>
    <n v="0"/>
    <n v="268.7"/>
    <n v="81"/>
    <n v="45.68"/>
    <n v="145.5"/>
    <n v="100"/>
    <n v="12.37"/>
    <n v="185.6"/>
    <n v="86"/>
    <n v="8.35"/>
    <x v="27"/>
    <x v="3"/>
    <x v="27"/>
    <x v="1"/>
    <x v="0"/>
  </r>
  <r>
    <s v="NV"/>
    <x v="137"/>
    <s v="area_code_408"/>
    <x v="0"/>
    <x v="0"/>
    <n v="48"/>
    <n v="178.8"/>
    <n v="91"/>
    <n v="30.4"/>
    <n v="246.8"/>
    <n v="106"/>
    <n v="20.98"/>
    <n v="262.39999999999998"/>
    <n v="119"/>
    <n v="11.81"/>
    <x v="62"/>
    <x v="10"/>
    <x v="62"/>
    <x v="0"/>
    <x v="0"/>
  </r>
  <r>
    <s v="VA"/>
    <x v="49"/>
    <s v="area_code_415"/>
    <x v="0"/>
    <x v="0"/>
    <n v="24"/>
    <n v="197.3"/>
    <n v="82"/>
    <n v="33.54"/>
    <n v="167.6"/>
    <n v="51"/>
    <n v="14.25"/>
    <n v="222"/>
    <n v="89"/>
    <n v="9.99"/>
    <x v="33"/>
    <x v="0"/>
    <x v="33"/>
    <x v="0"/>
    <x v="0"/>
  </r>
  <r>
    <s v="NY"/>
    <x v="72"/>
    <s v="area_code_415"/>
    <x v="0"/>
    <x v="0"/>
    <n v="36"/>
    <n v="233.9"/>
    <n v="97"/>
    <n v="39.76"/>
    <n v="175.6"/>
    <n v="133"/>
    <n v="14.93"/>
    <n v="177"/>
    <n v="83"/>
    <n v="7.97"/>
    <x v="17"/>
    <x v="4"/>
    <x v="17"/>
    <x v="0"/>
    <x v="0"/>
  </r>
  <r>
    <s v="MO"/>
    <x v="53"/>
    <s v="area_code_408"/>
    <x v="1"/>
    <x v="1"/>
    <n v="0"/>
    <n v="207.1"/>
    <n v="87"/>
    <n v="35.21"/>
    <n v="208.5"/>
    <n v="87"/>
    <n v="17.72"/>
    <n v="146"/>
    <n v="95"/>
    <n v="6.57"/>
    <x v="59"/>
    <x v="1"/>
    <x v="59"/>
    <x v="2"/>
    <x v="0"/>
  </r>
  <r>
    <s v="FL"/>
    <x v="100"/>
    <s v="area_code_408"/>
    <x v="0"/>
    <x v="1"/>
    <n v="0"/>
    <n v="136.80000000000001"/>
    <n v="84"/>
    <n v="23.26"/>
    <n v="179.4"/>
    <n v="81"/>
    <n v="15.25"/>
    <n v="235.2"/>
    <n v="151"/>
    <n v="10.58"/>
    <x v="105"/>
    <x v="0"/>
    <x v="105"/>
    <x v="2"/>
    <x v="0"/>
  </r>
  <r>
    <s v="SC"/>
    <x v="121"/>
    <s v="area_code_415"/>
    <x v="0"/>
    <x v="1"/>
    <n v="0"/>
    <n v="159.4"/>
    <n v="126"/>
    <n v="27.1"/>
    <n v="207"/>
    <n v="108"/>
    <n v="17.600000000000001"/>
    <n v="141.6"/>
    <n v="121"/>
    <n v="6.37"/>
    <x v="22"/>
    <x v="4"/>
    <x v="22"/>
    <x v="0"/>
    <x v="0"/>
  </r>
  <r>
    <s v="IL"/>
    <x v="144"/>
    <s v="area_code_415"/>
    <x v="0"/>
    <x v="1"/>
    <n v="0"/>
    <n v="112.1"/>
    <n v="122"/>
    <n v="19.059999999999999"/>
    <n v="157.9"/>
    <n v="86"/>
    <n v="13.42"/>
    <n v="271.60000000000002"/>
    <n v="104"/>
    <n v="12.22"/>
    <x v="22"/>
    <x v="1"/>
    <x v="22"/>
    <x v="1"/>
    <x v="0"/>
  </r>
  <r>
    <s v="NE"/>
    <x v="123"/>
    <s v="area_code_415"/>
    <x v="0"/>
    <x v="1"/>
    <n v="0"/>
    <n v="238.6"/>
    <n v="117"/>
    <n v="40.56"/>
    <n v="242.8"/>
    <n v="73"/>
    <n v="20.64"/>
    <n v="203.3"/>
    <n v="130"/>
    <n v="9.15"/>
    <x v="13"/>
    <x v="10"/>
    <x v="13"/>
    <x v="4"/>
    <x v="0"/>
  </r>
  <r>
    <s v="AK"/>
    <x v="117"/>
    <s v="area_code_510"/>
    <x v="1"/>
    <x v="1"/>
    <n v="0"/>
    <n v="163.5"/>
    <n v="85"/>
    <n v="27.8"/>
    <n v="224.8"/>
    <n v="149"/>
    <n v="19.11"/>
    <n v="253.1"/>
    <n v="116"/>
    <n v="11.39"/>
    <x v="52"/>
    <x v="4"/>
    <x v="52"/>
    <x v="0"/>
    <x v="0"/>
  </r>
  <r>
    <s v="TN"/>
    <x v="53"/>
    <s v="area_code_408"/>
    <x v="1"/>
    <x v="1"/>
    <n v="0"/>
    <n v="127.2"/>
    <n v="94"/>
    <n v="21.62"/>
    <n v="221.1"/>
    <n v="108"/>
    <n v="18.79"/>
    <n v="110.7"/>
    <n v="106"/>
    <n v="4.9800000000000004"/>
    <x v="7"/>
    <x v="0"/>
    <x v="7"/>
    <x v="2"/>
    <x v="0"/>
  </r>
  <r>
    <s v="NM"/>
    <x v="33"/>
    <s v="area_code_408"/>
    <x v="0"/>
    <x v="1"/>
    <n v="0"/>
    <n v="145.80000000000001"/>
    <n v="95"/>
    <n v="24.79"/>
    <n v="228.3"/>
    <n v="81"/>
    <n v="19.41"/>
    <n v="247.5"/>
    <n v="87"/>
    <n v="11.14"/>
    <x v="63"/>
    <x v="1"/>
    <x v="63"/>
    <x v="1"/>
    <x v="0"/>
  </r>
  <r>
    <s v="NV"/>
    <x v="91"/>
    <s v="area_code_415"/>
    <x v="0"/>
    <x v="1"/>
    <n v="0"/>
    <n v="250.1"/>
    <n v="108"/>
    <n v="42.52"/>
    <n v="221.9"/>
    <n v="97"/>
    <n v="18.86"/>
    <n v="208.5"/>
    <n v="84"/>
    <n v="9.3800000000000008"/>
    <x v="22"/>
    <x v="0"/>
    <x v="22"/>
    <x v="2"/>
    <x v="0"/>
  </r>
  <r>
    <s v="WV"/>
    <x v="102"/>
    <s v="area_code_510"/>
    <x v="0"/>
    <x v="1"/>
    <n v="0"/>
    <n v="101.5"/>
    <n v="83"/>
    <n v="17.260000000000002"/>
    <n v="193.8"/>
    <n v="83"/>
    <n v="16.47"/>
    <n v="214.3"/>
    <n v="113"/>
    <n v="9.64"/>
    <x v="50"/>
    <x v="4"/>
    <x v="50"/>
    <x v="3"/>
    <x v="0"/>
  </r>
  <r>
    <s v="IL"/>
    <x v="118"/>
    <s v="area_code_415"/>
    <x v="0"/>
    <x v="0"/>
    <n v="26"/>
    <n v="119.6"/>
    <n v="133"/>
    <n v="20.329999999999998"/>
    <n v="247"/>
    <n v="136"/>
    <n v="21"/>
    <n v="227.3"/>
    <n v="54"/>
    <n v="10.23"/>
    <x v="14"/>
    <x v="0"/>
    <x v="14"/>
    <x v="0"/>
    <x v="0"/>
  </r>
  <r>
    <s v="HI"/>
    <x v="80"/>
    <s v="area_code_415"/>
    <x v="0"/>
    <x v="1"/>
    <n v="0"/>
    <n v="158.19999999999999"/>
    <n v="85"/>
    <n v="26.89"/>
    <n v="197.9"/>
    <n v="91"/>
    <n v="16.82"/>
    <n v="159.9"/>
    <n v="133"/>
    <n v="7.2"/>
    <x v="18"/>
    <x v="2"/>
    <x v="18"/>
    <x v="0"/>
    <x v="0"/>
  </r>
  <r>
    <s v="DC"/>
    <x v="102"/>
    <s v="area_code_510"/>
    <x v="0"/>
    <x v="1"/>
    <n v="0"/>
    <n v="193.2"/>
    <n v="139"/>
    <n v="32.840000000000003"/>
    <n v="260.3"/>
    <n v="104"/>
    <n v="22.13"/>
    <n v="226.4"/>
    <n v="133"/>
    <n v="10.19"/>
    <x v="35"/>
    <x v="5"/>
    <x v="35"/>
    <x v="0"/>
    <x v="0"/>
  </r>
  <r>
    <s v="ID"/>
    <x v="15"/>
    <s v="area_code_510"/>
    <x v="0"/>
    <x v="0"/>
    <n v="33"/>
    <n v="217.7"/>
    <n v="108"/>
    <n v="37.01"/>
    <n v="245.7"/>
    <n v="106"/>
    <n v="20.88"/>
    <n v="242.9"/>
    <n v="100"/>
    <n v="10.93"/>
    <x v="82"/>
    <x v="3"/>
    <x v="82"/>
    <x v="0"/>
    <x v="0"/>
  </r>
  <r>
    <s v="NC"/>
    <x v="21"/>
    <s v="area_code_408"/>
    <x v="0"/>
    <x v="1"/>
    <n v="0"/>
    <n v="199.8"/>
    <n v="94"/>
    <n v="33.97"/>
    <n v="308"/>
    <n v="112"/>
    <n v="26.18"/>
    <n v="162.6"/>
    <n v="99"/>
    <n v="7.32"/>
    <x v="3"/>
    <x v="4"/>
    <x v="3"/>
    <x v="1"/>
    <x v="0"/>
  </r>
  <r>
    <s v="AL"/>
    <x v="28"/>
    <s v="area_code_510"/>
    <x v="0"/>
    <x v="1"/>
    <n v="0"/>
    <n v="171.9"/>
    <n v="77"/>
    <n v="29.22"/>
    <n v="235.3"/>
    <n v="90"/>
    <n v="20"/>
    <n v="140.30000000000001"/>
    <n v="125"/>
    <n v="6.31"/>
    <x v="28"/>
    <x v="4"/>
    <x v="28"/>
    <x v="2"/>
    <x v="0"/>
  </r>
  <r>
    <s v="OR"/>
    <x v="108"/>
    <s v="area_code_415"/>
    <x v="0"/>
    <x v="0"/>
    <n v="31"/>
    <n v="67.7"/>
    <n v="67"/>
    <n v="11.51"/>
    <n v="147.1"/>
    <n v="116"/>
    <n v="12.5"/>
    <n v="288.3"/>
    <n v="103"/>
    <n v="12.97"/>
    <x v="10"/>
    <x v="5"/>
    <x v="10"/>
    <x v="8"/>
    <x v="1"/>
  </r>
  <r>
    <s v="IL"/>
    <x v="0"/>
    <s v="area_code_408"/>
    <x v="0"/>
    <x v="1"/>
    <n v="0"/>
    <n v="228.2"/>
    <n v="90"/>
    <n v="38.79"/>
    <n v="214.2"/>
    <n v="123"/>
    <n v="18.21"/>
    <n v="183.1"/>
    <n v="79"/>
    <n v="8.24"/>
    <x v="26"/>
    <x v="4"/>
    <x v="26"/>
    <x v="4"/>
    <x v="0"/>
  </r>
  <r>
    <s v="WV"/>
    <x v="120"/>
    <s v="area_code_510"/>
    <x v="0"/>
    <x v="1"/>
    <n v="0"/>
    <n v="191.5"/>
    <n v="93"/>
    <n v="32.56"/>
    <n v="163.80000000000001"/>
    <n v="76"/>
    <n v="13.92"/>
    <n v="189.1"/>
    <n v="103"/>
    <n v="8.51"/>
    <x v="71"/>
    <x v="6"/>
    <x v="71"/>
    <x v="0"/>
    <x v="0"/>
  </r>
  <r>
    <s v="MN"/>
    <x v="23"/>
    <s v="area_code_415"/>
    <x v="0"/>
    <x v="1"/>
    <n v="0"/>
    <n v="171.5"/>
    <n v="86"/>
    <n v="29.16"/>
    <n v="188.8"/>
    <n v="85"/>
    <n v="16.05"/>
    <n v="155.1"/>
    <n v="82"/>
    <n v="6.98"/>
    <x v="31"/>
    <x v="5"/>
    <x v="31"/>
    <x v="2"/>
    <x v="0"/>
  </r>
  <r>
    <s v="LA"/>
    <x v="30"/>
    <s v="area_code_408"/>
    <x v="0"/>
    <x v="1"/>
    <n v="0"/>
    <n v="151.1"/>
    <n v="92"/>
    <n v="25.69"/>
    <n v="211.7"/>
    <n v="86"/>
    <n v="17.989999999999998"/>
    <n v="205.8"/>
    <n v="72"/>
    <n v="9.26"/>
    <x v="52"/>
    <x v="4"/>
    <x v="52"/>
    <x v="1"/>
    <x v="0"/>
  </r>
  <r>
    <s v="VT"/>
    <x v="143"/>
    <s v="area_code_415"/>
    <x v="0"/>
    <x v="1"/>
    <n v="0"/>
    <n v="134.30000000000001"/>
    <n v="99"/>
    <n v="22.83"/>
    <n v="203.9"/>
    <n v="103"/>
    <n v="17.329999999999998"/>
    <n v="297.7"/>
    <n v="91"/>
    <n v="13.4"/>
    <x v="98"/>
    <x v="5"/>
    <x v="98"/>
    <x v="3"/>
    <x v="0"/>
  </r>
  <r>
    <s v="IL"/>
    <x v="143"/>
    <s v="area_code_510"/>
    <x v="0"/>
    <x v="1"/>
    <n v="0"/>
    <n v="117.8"/>
    <n v="64"/>
    <n v="20.03"/>
    <n v="216.2"/>
    <n v="84"/>
    <n v="18.38"/>
    <n v="148.4"/>
    <n v="59"/>
    <n v="6.68"/>
    <x v="54"/>
    <x v="1"/>
    <x v="54"/>
    <x v="0"/>
    <x v="0"/>
  </r>
  <r>
    <s v="KS"/>
    <x v="129"/>
    <s v="area_code_408"/>
    <x v="0"/>
    <x v="1"/>
    <n v="0"/>
    <n v="181.2"/>
    <n v="71"/>
    <n v="30.8"/>
    <n v="344.9"/>
    <n v="108"/>
    <n v="29.32"/>
    <n v="213.6"/>
    <n v="145"/>
    <n v="9.61"/>
    <x v="47"/>
    <x v="5"/>
    <x v="47"/>
    <x v="3"/>
    <x v="0"/>
  </r>
  <r>
    <s v="UT"/>
    <x v="53"/>
    <s v="area_code_415"/>
    <x v="0"/>
    <x v="1"/>
    <n v="0"/>
    <n v="152.30000000000001"/>
    <n v="91"/>
    <n v="25.89"/>
    <n v="165"/>
    <n v="120"/>
    <n v="14.03"/>
    <n v="294.3"/>
    <n v="73"/>
    <n v="13.24"/>
    <x v="62"/>
    <x v="0"/>
    <x v="62"/>
    <x v="2"/>
    <x v="0"/>
  </r>
  <r>
    <s v="KY"/>
    <x v="113"/>
    <s v="area_code_408"/>
    <x v="0"/>
    <x v="1"/>
    <n v="0"/>
    <n v="204.4"/>
    <n v="91"/>
    <n v="34.75"/>
    <n v="239.6"/>
    <n v="136"/>
    <n v="20.37"/>
    <n v="235"/>
    <n v="64"/>
    <n v="10.58"/>
    <x v="73"/>
    <x v="0"/>
    <x v="73"/>
    <x v="2"/>
    <x v="0"/>
  </r>
  <r>
    <s v="MT"/>
    <x v="48"/>
    <s v="area_code_415"/>
    <x v="0"/>
    <x v="1"/>
    <n v="0"/>
    <n v="283.89999999999998"/>
    <n v="98"/>
    <n v="48.26"/>
    <n v="137.1"/>
    <n v="91"/>
    <n v="11.65"/>
    <n v="159"/>
    <n v="110"/>
    <n v="7.15"/>
    <x v="61"/>
    <x v="1"/>
    <x v="61"/>
    <x v="2"/>
    <x v="0"/>
  </r>
  <r>
    <s v="MA"/>
    <x v="94"/>
    <s v="area_code_415"/>
    <x v="0"/>
    <x v="0"/>
    <n v="29"/>
    <n v="142.69999999999999"/>
    <n v="94"/>
    <n v="24.26"/>
    <n v="129.9"/>
    <n v="60"/>
    <n v="11.04"/>
    <n v="165.3"/>
    <n v="65"/>
    <n v="7.44"/>
    <x v="13"/>
    <x v="4"/>
    <x v="13"/>
    <x v="1"/>
    <x v="0"/>
  </r>
  <r>
    <s v="NJ"/>
    <x v="60"/>
    <s v="area_code_415"/>
    <x v="0"/>
    <x v="1"/>
    <n v="0"/>
    <n v="145.4"/>
    <n v="92"/>
    <n v="24.72"/>
    <n v="172.8"/>
    <n v="103"/>
    <n v="14.69"/>
    <n v="183.9"/>
    <n v="43"/>
    <n v="8.2799999999999994"/>
    <x v="38"/>
    <x v="0"/>
    <x v="38"/>
    <x v="2"/>
    <x v="0"/>
  </r>
  <r>
    <s v="WY"/>
    <x v="155"/>
    <s v="area_code_415"/>
    <x v="0"/>
    <x v="1"/>
    <n v="0"/>
    <n v="211.7"/>
    <n v="94"/>
    <n v="35.99"/>
    <n v="236.1"/>
    <n v="124"/>
    <n v="20.07"/>
    <n v="252.7"/>
    <n v="90"/>
    <n v="11.37"/>
    <x v="68"/>
    <x v="5"/>
    <x v="68"/>
    <x v="4"/>
    <x v="0"/>
  </r>
  <r>
    <s v="VT"/>
    <x v="53"/>
    <s v="area_code_415"/>
    <x v="0"/>
    <x v="1"/>
    <n v="0"/>
    <n v="192.6"/>
    <n v="129"/>
    <n v="32.74"/>
    <n v="191.6"/>
    <n v="100"/>
    <n v="16.29"/>
    <n v="203.1"/>
    <n v="105"/>
    <n v="9.14"/>
    <x v="37"/>
    <x v="5"/>
    <x v="37"/>
    <x v="3"/>
    <x v="0"/>
  </r>
  <r>
    <s v="AL"/>
    <x v="119"/>
    <s v="area_code_408"/>
    <x v="0"/>
    <x v="1"/>
    <n v="0"/>
    <n v="52"/>
    <n v="60"/>
    <n v="8.84"/>
    <n v="132"/>
    <n v="79"/>
    <n v="11.22"/>
    <n v="185.8"/>
    <n v="85"/>
    <n v="8.36"/>
    <x v="10"/>
    <x v="5"/>
    <x v="10"/>
    <x v="2"/>
    <x v="0"/>
  </r>
  <r>
    <s v="DE"/>
    <x v="66"/>
    <s v="area_code_415"/>
    <x v="0"/>
    <x v="0"/>
    <n v="30"/>
    <n v="237.7"/>
    <n v="94"/>
    <n v="40.409999999999997"/>
    <n v="154.69999999999999"/>
    <n v="91"/>
    <n v="13.15"/>
    <n v="223.1"/>
    <n v="98"/>
    <n v="10.039999999999999"/>
    <x v="17"/>
    <x v="0"/>
    <x v="17"/>
    <x v="0"/>
    <x v="0"/>
  </r>
  <r>
    <s v="WV"/>
    <x v="106"/>
    <s v="area_code_408"/>
    <x v="0"/>
    <x v="0"/>
    <n v="31"/>
    <n v="203.6"/>
    <n v="108"/>
    <n v="34.61"/>
    <n v="156.9"/>
    <n v="112"/>
    <n v="13.34"/>
    <n v="236.2"/>
    <n v="114"/>
    <n v="10.63"/>
    <x v="42"/>
    <x v="1"/>
    <x v="42"/>
    <x v="0"/>
    <x v="0"/>
  </r>
  <r>
    <s v="IA"/>
    <x v="40"/>
    <s v="area_code_510"/>
    <x v="0"/>
    <x v="1"/>
    <n v="0"/>
    <n v="192.4"/>
    <n v="79"/>
    <n v="32.71"/>
    <n v="212.7"/>
    <n v="106"/>
    <n v="18.079999999999998"/>
    <n v="244.8"/>
    <n v="83"/>
    <n v="11.02"/>
    <x v="24"/>
    <x v="1"/>
    <x v="24"/>
    <x v="0"/>
    <x v="0"/>
  </r>
  <r>
    <s v="PA"/>
    <x v="47"/>
    <s v="area_code_408"/>
    <x v="0"/>
    <x v="1"/>
    <n v="0"/>
    <n v="212.5"/>
    <n v="88"/>
    <n v="36.130000000000003"/>
    <n v="274.10000000000002"/>
    <n v="145"/>
    <n v="23.3"/>
    <n v="194.6"/>
    <n v="52"/>
    <n v="8.76"/>
    <x v="53"/>
    <x v="3"/>
    <x v="53"/>
    <x v="1"/>
    <x v="0"/>
  </r>
  <r>
    <s v="TN"/>
    <x v="91"/>
    <s v="area_code_415"/>
    <x v="0"/>
    <x v="1"/>
    <n v="0"/>
    <n v="114.4"/>
    <n v="114"/>
    <n v="19.45"/>
    <n v="201.1"/>
    <n v="97"/>
    <n v="17.09"/>
    <n v="238.4"/>
    <n v="121"/>
    <n v="10.73"/>
    <x v="43"/>
    <x v="4"/>
    <x v="43"/>
    <x v="3"/>
    <x v="0"/>
  </r>
  <r>
    <s v="NH"/>
    <x v="95"/>
    <s v="area_code_415"/>
    <x v="0"/>
    <x v="1"/>
    <n v="0"/>
    <n v="222.8"/>
    <n v="82"/>
    <n v="37.880000000000003"/>
    <n v="148.19999999999999"/>
    <n v="105"/>
    <n v="12.6"/>
    <n v="231.1"/>
    <n v="75"/>
    <n v="10.4"/>
    <x v="64"/>
    <x v="1"/>
    <x v="64"/>
    <x v="0"/>
    <x v="0"/>
  </r>
  <r>
    <s v="KY"/>
    <x v="131"/>
    <s v="area_code_415"/>
    <x v="0"/>
    <x v="1"/>
    <n v="0"/>
    <n v="207.7"/>
    <n v="75"/>
    <n v="35.31"/>
    <n v="191.3"/>
    <n v="116"/>
    <n v="16.260000000000002"/>
    <n v="226.7"/>
    <n v="98"/>
    <n v="10.199999999999999"/>
    <x v="43"/>
    <x v="3"/>
    <x v="43"/>
    <x v="2"/>
    <x v="0"/>
  </r>
  <r>
    <s v="MN"/>
    <x v="19"/>
    <s v="area_code_510"/>
    <x v="0"/>
    <x v="0"/>
    <n v="33"/>
    <n v="157.9"/>
    <n v="84"/>
    <n v="26.84"/>
    <n v="163.9"/>
    <n v="109"/>
    <n v="13.93"/>
    <n v="215.4"/>
    <n v="87"/>
    <n v="9.69"/>
    <x v="73"/>
    <x v="0"/>
    <x v="73"/>
    <x v="3"/>
    <x v="0"/>
  </r>
  <r>
    <s v="NM"/>
    <x v="171"/>
    <s v="area_code_415"/>
    <x v="0"/>
    <x v="1"/>
    <n v="0"/>
    <n v="137.9"/>
    <n v="160"/>
    <n v="23.44"/>
    <n v="234.9"/>
    <n v="107"/>
    <n v="19.97"/>
    <n v="166.6"/>
    <n v="70"/>
    <n v="7.5"/>
    <x v="108"/>
    <x v="0"/>
    <x v="108"/>
    <x v="5"/>
    <x v="1"/>
  </r>
  <r>
    <s v="NH"/>
    <x v="213"/>
    <s v="area_code_415"/>
    <x v="0"/>
    <x v="1"/>
    <n v="0"/>
    <n v="176"/>
    <n v="97"/>
    <n v="29.92"/>
    <n v="234.2"/>
    <n v="136"/>
    <n v="19.91"/>
    <n v="193.5"/>
    <n v="134"/>
    <n v="8.7100000000000009"/>
    <x v="31"/>
    <x v="1"/>
    <x v="31"/>
    <x v="0"/>
    <x v="0"/>
  </r>
  <r>
    <s v="TX"/>
    <x v="79"/>
    <s v="area_code_510"/>
    <x v="0"/>
    <x v="1"/>
    <n v="0"/>
    <n v="158.80000000000001"/>
    <n v="120"/>
    <n v="27"/>
    <n v="352.1"/>
    <n v="145"/>
    <n v="29.93"/>
    <n v="177.6"/>
    <n v="140"/>
    <n v="7.99"/>
    <x v="46"/>
    <x v="3"/>
    <x v="46"/>
    <x v="2"/>
    <x v="0"/>
  </r>
  <r>
    <s v="AL"/>
    <x v="100"/>
    <s v="area_code_415"/>
    <x v="0"/>
    <x v="1"/>
    <n v="0"/>
    <n v="234"/>
    <n v="117"/>
    <n v="39.78"/>
    <n v="209.4"/>
    <n v="143"/>
    <n v="17.8"/>
    <n v="258.8"/>
    <n v="105"/>
    <n v="11.65"/>
    <x v="52"/>
    <x v="0"/>
    <x v="52"/>
    <x v="0"/>
    <x v="0"/>
  </r>
  <r>
    <s v="WA"/>
    <x v="102"/>
    <s v="area_code_415"/>
    <x v="0"/>
    <x v="1"/>
    <n v="0"/>
    <n v="132.30000000000001"/>
    <n v="105"/>
    <n v="22.49"/>
    <n v="144.5"/>
    <n v="89"/>
    <n v="12.28"/>
    <n v="195.5"/>
    <n v="127"/>
    <n v="8.8000000000000007"/>
    <x v="11"/>
    <x v="0"/>
    <x v="11"/>
    <x v="1"/>
    <x v="0"/>
  </r>
  <r>
    <s v="MN"/>
    <x v="53"/>
    <s v="area_code_408"/>
    <x v="0"/>
    <x v="0"/>
    <n v="32"/>
    <n v="276.60000000000002"/>
    <n v="76"/>
    <n v="47.02"/>
    <n v="138.30000000000001"/>
    <n v="90"/>
    <n v="11.76"/>
    <n v="279.60000000000002"/>
    <n v="88"/>
    <n v="12.58"/>
    <x v="36"/>
    <x v="0"/>
    <x v="36"/>
    <x v="3"/>
    <x v="0"/>
  </r>
  <r>
    <s v="NJ"/>
    <x v="146"/>
    <s v="area_code_415"/>
    <x v="0"/>
    <x v="1"/>
    <n v="0"/>
    <n v="108.2"/>
    <n v="92"/>
    <n v="18.39"/>
    <n v="214.3"/>
    <n v="83"/>
    <n v="18.22"/>
    <n v="185.5"/>
    <n v="155"/>
    <n v="8.35"/>
    <x v="32"/>
    <x v="12"/>
    <x v="32"/>
    <x v="4"/>
    <x v="1"/>
  </r>
  <r>
    <s v="NH"/>
    <x v="55"/>
    <s v="area_code_408"/>
    <x v="0"/>
    <x v="1"/>
    <n v="0"/>
    <n v="156"/>
    <n v="94"/>
    <n v="26.52"/>
    <n v="295.60000000000002"/>
    <n v="118"/>
    <n v="25.13"/>
    <n v="196.9"/>
    <n v="84"/>
    <n v="8.86"/>
    <x v="108"/>
    <x v="0"/>
    <x v="108"/>
    <x v="1"/>
    <x v="0"/>
  </r>
  <r>
    <s v="VT"/>
    <x v="14"/>
    <s v="area_code_408"/>
    <x v="0"/>
    <x v="1"/>
    <n v="0"/>
    <n v="208.5"/>
    <n v="124"/>
    <n v="35.450000000000003"/>
    <n v="173"/>
    <n v="117"/>
    <n v="14.71"/>
    <n v="221.1"/>
    <n v="95"/>
    <n v="9.9499999999999993"/>
    <x v="52"/>
    <x v="0"/>
    <x v="52"/>
    <x v="1"/>
    <x v="0"/>
  </r>
  <r>
    <s v="NH"/>
    <x v="28"/>
    <s v="area_code_415"/>
    <x v="0"/>
    <x v="1"/>
    <n v="0"/>
    <n v="243.4"/>
    <n v="88"/>
    <n v="41.38"/>
    <n v="147.1"/>
    <n v="155"/>
    <n v="12.5"/>
    <n v="156.4"/>
    <n v="80"/>
    <n v="7.04"/>
    <x v="84"/>
    <x v="4"/>
    <x v="84"/>
    <x v="2"/>
    <x v="0"/>
  </r>
  <r>
    <s v="MD"/>
    <x v="62"/>
    <s v="area_code_510"/>
    <x v="1"/>
    <x v="1"/>
    <n v="0"/>
    <n v="275.39999999999998"/>
    <n v="89"/>
    <n v="46.82"/>
    <n v="186.7"/>
    <n v="66"/>
    <n v="15.87"/>
    <n v="201.3"/>
    <n v="87"/>
    <n v="9.06"/>
    <x v="27"/>
    <x v="5"/>
    <x v="27"/>
    <x v="1"/>
    <x v="1"/>
  </r>
  <r>
    <s v="LA"/>
    <x v="20"/>
    <s v="area_code_415"/>
    <x v="0"/>
    <x v="1"/>
    <n v="0"/>
    <n v="198.1"/>
    <n v="89"/>
    <n v="33.68"/>
    <n v="214.2"/>
    <n v="105"/>
    <n v="18.21"/>
    <n v="109.5"/>
    <n v="106"/>
    <n v="4.93"/>
    <x v="99"/>
    <x v="0"/>
    <x v="99"/>
    <x v="0"/>
    <x v="0"/>
  </r>
  <r>
    <s v="SC"/>
    <x v="1"/>
    <s v="area_code_510"/>
    <x v="0"/>
    <x v="1"/>
    <n v="0"/>
    <n v="109.8"/>
    <n v="112"/>
    <n v="18.670000000000002"/>
    <n v="223.5"/>
    <n v="88"/>
    <n v="19"/>
    <n v="247.5"/>
    <n v="96"/>
    <n v="11.14"/>
    <x v="160"/>
    <x v="5"/>
    <x v="160"/>
    <x v="0"/>
    <x v="0"/>
  </r>
  <r>
    <s v="AR"/>
    <x v="137"/>
    <s v="area_code_510"/>
    <x v="0"/>
    <x v="1"/>
    <n v="0"/>
    <n v="120.5"/>
    <n v="99"/>
    <n v="20.49"/>
    <n v="210"/>
    <n v="81"/>
    <n v="17.850000000000001"/>
    <n v="224.7"/>
    <n v="141"/>
    <n v="10.11"/>
    <x v="53"/>
    <x v="5"/>
    <x v="53"/>
    <x v="2"/>
    <x v="0"/>
  </r>
  <r>
    <s v="WV"/>
    <x v="100"/>
    <s v="area_code_510"/>
    <x v="0"/>
    <x v="1"/>
    <n v="0"/>
    <n v="256.60000000000002"/>
    <n v="96"/>
    <n v="43.62"/>
    <n v="225.2"/>
    <n v="113"/>
    <n v="19.14"/>
    <n v="190.2"/>
    <n v="91"/>
    <n v="8.56"/>
    <x v="22"/>
    <x v="0"/>
    <x v="22"/>
    <x v="0"/>
    <x v="1"/>
  </r>
  <r>
    <s v="AR"/>
    <x v="43"/>
    <s v="area_code_408"/>
    <x v="0"/>
    <x v="1"/>
    <n v="0"/>
    <n v="85.8"/>
    <n v="88"/>
    <n v="14.59"/>
    <n v="115.8"/>
    <n v="112"/>
    <n v="9.84"/>
    <n v="195.9"/>
    <n v="91"/>
    <n v="8.82"/>
    <x v="34"/>
    <x v="5"/>
    <x v="34"/>
    <x v="0"/>
    <x v="0"/>
  </r>
  <r>
    <s v="NH"/>
    <x v="27"/>
    <s v="area_code_510"/>
    <x v="0"/>
    <x v="0"/>
    <n v="19"/>
    <n v="174"/>
    <n v="96"/>
    <n v="29.58"/>
    <n v="217.2"/>
    <n v="126"/>
    <n v="18.46"/>
    <n v="220.3"/>
    <n v="97"/>
    <n v="9.91"/>
    <x v="37"/>
    <x v="0"/>
    <x v="37"/>
    <x v="0"/>
    <x v="0"/>
  </r>
  <r>
    <s v="TX"/>
    <x v="44"/>
    <s v="area_code_510"/>
    <x v="0"/>
    <x v="1"/>
    <n v="0"/>
    <n v="221.4"/>
    <n v="95"/>
    <n v="37.64"/>
    <n v="198.7"/>
    <n v="63"/>
    <n v="16.89"/>
    <n v="106.2"/>
    <n v="70"/>
    <n v="4.78"/>
    <x v="13"/>
    <x v="0"/>
    <x v="13"/>
    <x v="0"/>
    <x v="0"/>
  </r>
  <r>
    <s v="TX"/>
    <x v="65"/>
    <s v="area_code_415"/>
    <x v="0"/>
    <x v="1"/>
    <n v="0"/>
    <n v="133.1"/>
    <n v="52"/>
    <n v="22.63"/>
    <n v="256.3"/>
    <n v="103"/>
    <n v="21.79"/>
    <n v="247.2"/>
    <n v="118"/>
    <n v="11.12"/>
    <x v="78"/>
    <x v="0"/>
    <x v="78"/>
    <x v="3"/>
    <x v="0"/>
  </r>
  <r>
    <s v="PA"/>
    <x v="91"/>
    <s v="area_code_415"/>
    <x v="0"/>
    <x v="1"/>
    <n v="0"/>
    <n v="195.2"/>
    <n v="77"/>
    <n v="33.18"/>
    <n v="193.4"/>
    <n v="81"/>
    <n v="16.440000000000001"/>
    <n v="231.8"/>
    <n v="59"/>
    <n v="10.43"/>
    <x v="1"/>
    <x v="4"/>
    <x v="1"/>
    <x v="2"/>
    <x v="0"/>
  </r>
  <r>
    <s v="ME"/>
    <x v="130"/>
    <s v="area_code_415"/>
    <x v="0"/>
    <x v="1"/>
    <n v="0"/>
    <n v="246.4"/>
    <n v="108"/>
    <n v="41.89"/>
    <n v="205.5"/>
    <n v="102"/>
    <n v="17.47"/>
    <n v="208.1"/>
    <n v="125"/>
    <n v="9.36"/>
    <x v="71"/>
    <x v="10"/>
    <x v="71"/>
    <x v="2"/>
    <x v="0"/>
  </r>
  <r>
    <s v="WY"/>
    <x v="91"/>
    <s v="area_code_408"/>
    <x v="0"/>
    <x v="1"/>
    <n v="0"/>
    <n v="199.2"/>
    <n v="80"/>
    <n v="33.86"/>
    <n v="123.2"/>
    <n v="84"/>
    <n v="10.47"/>
    <n v="82.3"/>
    <n v="77"/>
    <n v="3.7"/>
    <x v="63"/>
    <x v="4"/>
    <x v="63"/>
    <x v="2"/>
    <x v="0"/>
  </r>
  <r>
    <s v="KY"/>
    <x v="141"/>
    <s v="area_code_408"/>
    <x v="0"/>
    <x v="0"/>
    <n v="24"/>
    <n v="235.4"/>
    <n v="92"/>
    <n v="40.020000000000003"/>
    <n v="160.9"/>
    <n v="71"/>
    <n v="13.68"/>
    <n v="211.9"/>
    <n v="99"/>
    <n v="9.5399999999999991"/>
    <x v="56"/>
    <x v="5"/>
    <x v="56"/>
    <x v="3"/>
    <x v="0"/>
  </r>
  <r>
    <s v="RI"/>
    <x v="96"/>
    <s v="area_code_415"/>
    <x v="0"/>
    <x v="1"/>
    <n v="0"/>
    <n v="155.9"/>
    <n v="90"/>
    <n v="26.5"/>
    <n v="198"/>
    <n v="101"/>
    <n v="16.829999999999998"/>
    <n v="189.1"/>
    <n v="95"/>
    <n v="8.51"/>
    <x v="40"/>
    <x v="5"/>
    <x v="40"/>
    <x v="2"/>
    <x v="0"/>
  </r>
  <r>
    <s v="LA"/>
    <x v="40"/>
    <s v="area_code_415"/>
    <x v="0"/>
    <x v="0"/>
    <n v="43"/>
    <n v="102.4"/>
    <n v="102"/>
    <n v="17.41"/>
    <n v="225.3"/>
    <n v="104"/>
    <n v="19.149999999999999"/>
    <n v="182.3"/>
    <n v="97"/>
    <n v="8.1999999999999993"/>
    <x v="5"/>
    <x v="1"/>
    <x v="5"/>
    <x v="2"/>
    <x v="0"/>
  </r>
  <r>
    <s v="KY"/>
    <x v="16"/>
    <s v="area_code_415"/>
    <x v="0"/>
    <x v="0"/>
    <n v="32"/>
    <n v="192.2"/>
    <n v="101"/>
    <n v="32.67"/>
    <n v="165.4"/>
    <n v="84"/>
    <n v="14.06"/>
    <n v="230.2"/>
    <n v="129"/>
    <n v="10.36"/>
    <x v="40"/>
    <x v="3"/>
    <x v="40"/>
    <x v="0"/>
    <x v="0"/>
  </r>
  <r>
    <s v="DE"/>
    <x v="137"/>
    <s v="area_code_415"/>
    <x v="0"/>
    <x v="0"/>
    <n v="28"/>
    <n v="202.7"/>
    <n v="124"/>
    <n v="34.46"/>
    <n v="248.9"/>
    <n v="98"/>
    <n v="21.16"/>
    <n v="184.7"/>
    <n v="50"/>
    <n v="8.31"/>
    <x v="20"/>
    <x v="3"/>
    <x v="20"/>
    <x v="0"/>
    <x v="0"/>
  </r>
  <r>
    <s v="SD"/>
    <x v="145"/>
    <s v="area_code_415"/>
    <x v="0"/>
    <x v="0"/>
    <n v="38"/>
    <n v="84.3"/>
    <n v="116"/>
    <n v="14.33"/>
    <n v="267.2"/>
    <n v="127"/>
    <n v="22.71"/>
    <n v="167.7"/>
    <n v="75"/>
    <n v="7.55"/>
    <x v="24"/>
    <x v="3"/>
    <x v="24"/>
    <x v="4"/>
    <x v="1"/>
  </r>
  <r>
    <s v="MS"/>
    <x v="107"/>
    <s v="area_code_415"/>
    <x v="0"/>
    <x v="0"/>
    <n v="18"/>
    <n v="168"/>
    <n v="127"/>
    <n v="28.56"/>
    <n v="155.5"/>
    <n v="76"/>
    <n v="13.22"/>
    <n v="152.69999999999999"/>
    <n v="127"/>
    <n v="6.87"/>
    <x v="23"/>
    <x v="1"/>
    <x v="23"/>
    <x v="1"/>
    <x v="0"/>
  </r>
  <r>
    <s v="WI"/>
    <x v="70"/>
    <s v="area_code_408"/>
    <x v="1"/>
    <x v="0"/>
    <n v="31"/>
    <n v="278.10000000000002"/>
    <n v="86"/>
    <n v="47.28"/>
    <n v="268.10000000000002"/>
    <n v="103"/>
    <n v="22.79"/>
    <n v="241.5"/>
    <n v="77"/>
    <n v="10.87"/>
    <x v="61"/>
    <x v="4"/>
    <x v="61"/>
    <x v="1"/>
    <x v="0"/>
  </r>
  <r>
    <s v="VT"/>
    <x v="66"/>
    <s v="area_code_408"/>
    <x v="0"/>
    <x v="1"/>
    <n v="0"/>
    <n v="128.30000000000001"/>
    <n v="89"/>
    <n v="21.81"/>
    <n v="237.7"/>
    <n v="62"/>
    <n v="20.2"/>
    <n v="166.6"/>
    <n v="128"/>
    <n v="7.5"/>
    <x v="7"/>
    <x v="1"/>
    <x v="7"/>
    <x v="0"/>
    <x v="0"/>
  </r>
  <r>
    <s v="MA"/>
    <x v="73"/>
    <s v="area_code_408"/>
    <x v="0"/>
    <x v="0"/>
    <n v="21"/>
    <n v="227.8"/>
    <n v="107"/>
    <n v="38.729999999999997"/>
    <n v="156.4"/>
    <n v="70"/>
    <n v="13.29"/>
    <n v="259.7"/>
    <n v="72"/>
    <n v="11.69"/>
    <x v="70"/>
    <x v="0"/>
    <x v="70"/>
    <x v="1"/>
    <x v="0"/>
  </r>
  <r>
    <s v="OR"/>
    <x v="8"/>
    <s v="area_code_408"/>
    <x v="1"/>
    <x v="1"/>
    <n v="0"/>
    <n v="54.8"/>
    <n v="74"/>
    <n v="9.32"/>
    <n v="239.8"/>
    <n v="93"/>
    <n v="20.38"/>
    <n v="214.4"/>
    <n v="91"/>
    <n v="9.65"/>
    <x v="83"/>
    <x v="1"/>
    <x v="83"/>
    <x v="0"/>
    <x v="1"/>
  </r>
  <r>
    <s v="MA"/>
    <x v="20"/>
    <s v="area_code_415"/>
    <x v="0"/>
    <x v="0"/>
    <n v="24"/>
    <n v="140.19999999999999"/>
    <n v="102"/>
    <n v="23.83"/>
    <n v="170.1"/>
    <n v="107"/>
    <n v="14.46"/>
    <n v="143.69999999999999"/>
    <n v="102"/>
    <n v="6.47"/>
    <x v="100"/>
    <x v="8"/>
    <x v="100"/>
    <x v="0"/>
    <x v="0"/>
  </r>
  <r>
    <s v="MT"/>
    <x v="76"/>
    <s v="area_code_408"/>
    <x v="0"/>
    <x v="1"/>
    <n v="0"/>
    <n v="271.2"/>
    <n v="110"/>
    <n v="46.1"/>
    <n v="213.5"/>
    <n v="80"/>
    <n v="18.149999999999999"/>
    <n v="201.8"/>
    <n v="102"/>
    <n v="9.08"/>
    <x v="32"/>
    <x v="4"/>
    <x v="32"/>
    <x v="1"/>
    <x v="1"/>
  </r>
  <r>
    <s v="AK"/>
    <x v="4"/>
    <s v="area_code_415"/>
    <x v="0"/>
    <x v="1"/>
    <n v="0"/>
    <n v="180"/>
    <n v="116"/>
    <n v="30.6"/>
    <n v="196.4"/>
    <n v="112"/>
    <n v="16.690000000000001"/>
    <n v="280.3"/>
    <n v="95"/>
    <n v="12.61"/>
    <x v="3"/>
    <x v="1"/>
    <x v="3"/>
    <x v="2"/>
    <x v="0"/>
  </r>
  <r>
    <s v="MS"/>
    <x v="6"/>
    <s v="area_code_415"/>
    <x v="0"/>
    <x v="1"/>
    <n v="0"/>
    <n v="189.8"/>
    <n v="122"/>
    <n v="32.270000000000003"/>
    <n v="235.6"/>
    <n v="94"/>
    <n v="20.03"/>
    <n v="270.8"/>
    <n v="120"/>
    <n v="12.19"/>
    <x v="8"/>
    <x v="5"/>
    <x v="8"/>
    <x v="0"/>
    <x v="0"/>
  </r>
  <r>
    <s v="OR"/>
    <x v="167"/>
    <s v="area_code_408"/>
    <x v="0"/>
    <x v="1"/>
    <n v="0"/>
    <n v="257.3"/>
    <n v="117"/>
    <n v="43.74"/>
    <n v="134.5"/>
    <n v="92"/>
    <n v="11.43"/>
    <n v="306.2"/>
    <n v="102"/>
    <n v="13.78"/>
    <x v="45"/>
    <x v="1"/>
    <x v="45"/>
    <x v="3"/>
    <x v="0"/>
  </r>
  <r>
    <s v="VA"/>
    <x v="52"/>
    <s v="area_code_510"/>
    <x v="0"/>
    <x v="1"/>
    <n v="0"/>
    <n v="103.3"/>
    <n v="93"/>
    <n v="17.559999999999999"/>
    <n v="210.6"/>
    <n v="87"/>
    <n v="17.899999999999999"/>
    <n v="187.2"/>
    <n v="118"/>
    <n v="8.42"/>
    <x v="37"/>
    <x v="3"/>
    <x v="37"/>
    <x v="0"/>
    <x v="0"/>
  </r>
  <r>
    <s v="AZ"/>
    <x v="71"/>
    <s v="area_code_415"/>
    <x v="0"/>
    <x v="1"/>
    <n v="0"/>
    <n v="208.1"/>
    <n v="115"/>
    <n v="35.380000000000003"/>
    <n v="178"/>
    <n v="104"/>
    <n v="15.13"/>
    <n v="195.9"/>
    <n v="95"/>
    <n v="8.82"/>
    <x v="70"/>
    <x v="6"/>
    <x v="70"/>
    <x v="3"/>
    <x v="0"/>
  </r>
  <r>
    <s v="UT"/>
    <x v="62"/>
    <s v="area_code_415"/>
    <x v="0"/>
    <x v="1"/>
    <n v="0"/>
    <n v="195.1"/>
    <n v="65"/>
    <n v="33.17"/>
    <n v="214"/>
    <n v="80"/>
    <n v="18.190000000000001"/>
    <n v="124.4"/>
    <n v="96"/>
    <n v="5.6"/>
    <x v="29"/>
    <x v="3"/>
    <x v="29"/>
    <x v="2"/>
    <x v="0"/>
  </r>
  <r>
    <s v="WV"/>
    <x v="165"/>
    <s v="area_code_415"/>
    <x v="0"/>
    <x v="1"/>
    <n v="0"/>
    <n v="162.6"/>
    <n v="97"/>
    <n v="27.64"/>
    <n v="227.8"/>
    <n v="107"/>
    <n v="19.36"/>
    <n v="218.8"/>
    <n v="92"/>
    <n v="9.85"/>
    <x v="61"/>
    <x v="4"/>
    <x v="61"/>
    <x v="0"/>
    <x v="0"/>
  </r>
  <r>
    <s v="AZ"/>
    <x v="121"/>
    <s v="area_code_510"/>
    <x v="0"/>
    <x v="0"/>
    <n v="24"/>
    <n v="197.8"/>
    <n v="84"/>
    <n v="33.630000000000003"/>
    <n v="223.2"/>
    <n v="117"/>
    <n v="18.97"/>
    <n v="201.7"/>
    <n v="132"/>
    <n v="9.08"/>
    <x v="16"/>
    <x v="4"/>
    <x v="16"/>
    <x v="0"/>
    <x v="0"/>
  </r>
  <r>
    <s v="RI"/>
    <x v="59"/>
    <s v="area_code_510"/>
    <x v="0"/>
    <x v="1"/>
    <n v="0"/>
    <n v="212.4"/>
    <n v="118"/>
    <n v="36.11"/>
    <n v="148.6"/>
    <n v="108"/>
    <n v="12.63"/>
    <n v="214.8"/>
    <n v="98"/>
    <n v="9.67"/>
    <x v="52"/>
    <x v="1"/>
    <x v="52"/>
    <x v="0"/>
    <x v="0"/>
  </r>
  <r>
    <s v="NM"/>
    <x v="51"/>
    <s v="area_code_408"/>
    <x v="0"/>
    <x v="1"/>
    <n v="0"/>
    <n v="63.7"/>
    <n v="114"/>
    <n v="10.83"/>
    <n v="212.2"/>
    <n v="132"/>
    <n v="18.04"/>
    <n v="247.6"/>
    <n v="114"/>
    <n v="11.14"/>
    <x v="82"/>
    <x v="4"/>
    <x v="82"/>
    <x v="1"/>
    <x v="0"/>
  </r>
  <r>
    <s v="HI"/>
    <x v="53"/>
    <s v="area_code_408"/>
    <x v="0"/>
    <x v="1"/>
    <n v="0"/>
    <n v="193.8"/>
    <n v="90"/>
    <n v="32.950000000000003"/>
    <n v="206.6"/>
    <n v="98"/>
    <n v="17.559999999999999"/>
    <n v="153.30000000000001"/>
    <n v="120"/>
    <n v="6.9"/>
    <x v="3"/>
    <x v="6"/>
    <x v="3"/>
    <x v="3"/>
    <x v="0"/>
  </r>
  <r>
    <s v="NY"/>
    <x v="20"/>
    <s v="area_code_510"/>
    <x v="0"/>
    <x v="0"/>
    <n v="25"/>
    <n v="144"/>
    <n v="81"/>
    <n v="24.48"/>
    <n v="187.2"/>
    <n v="112"/>
    <n v="15.91"/>
    <n v="158.6"/>
    <n v="122"/>
    <n v="7.14"/>
    <x v="31"/>
    <x v="3"/>
    <x v="31"/>
    <x v="3"/>
    <x v="0"/>
  </r>
  <r>
    <s v="NM"/>
    <x v="181"/>
    <s v="area_code_408"/>
    <x v="0"/>
    <x v="0"/>
    <n v="29"/>
    <n v="189"/>
    <n v="91"/>
    <n v="32.130000000000003"/>
    <n v="303.10000000000002"/>
    <n v="96"/>
    <n v="25.76"/>
    <n v="163.6"/>
    <n v="116"/>
    <n v="7.36"/>
    <x v="135"/>
    <x v="8"/>
    <x v="135"/>
    <x v="3"/>
    <x v="0"/>
  </r>
  <r>
    <s v="MI"/>
    <x v="28"/>
    <s v="area_code_415"/>
    <x v="0"/>
    <x v="0"/>
    <n v="23"/>
    <n v="168.9"/>
    <n v="98"/>
    <n v="28.71"/>
    <n v="226.3"/>
    <n v="117"/>
    <n v="19.239999999999998"/>
    <n v="165.5"/>
    <n v="96"/>
    <n v="7.45"/>
    <x v="108"/>
    <x v="0"/>
    <x v="108"/>
    <x v="1"/>
    <x v="0"/>
  </r>
  <r>
    <s v="IN"/>
    <x v="141"/>
    <s v="area_code_415"/>
    <x v="0"/>
    <x v="1"/>
    <n v="0"/>
    <n v="204.7"/>
    <n v="100"/>
    <n v="34.799999999999997"/>
    <n v="126.8"/>
    <n v="107"/>
    <n v="10.78"/>
    <n v="202.8"/>
    <n v="115"/>
    <n v="9.1300000000000008"/>
    <x v="47"/>
    <x v="4"/>
    <x v="47"/>
    <x v="2"/>
    <x v="0"/>
  </r>
  <r>
    <s v="KY"/>
    <x v="139"/>
    <s v="area_code_415"/>
    <x v="0"/>
    <x v="1"/>
    <n v="0"/>
    <n v="226.8"/>
    <n v="87"/>
    <n v="38.56"/>
    <n v="127.9"/>
    <n v="93"/>
    <n v="10.87"/>
    <n v="160.1"/>
    <n v="89"/>
    <n v="7.2"/>
    <x v="29"/>
    <x v="0"/>
    <x v="29"/>
    <x v="1"/>
    <x v="0"/>
  </r>
  <r>
    <s v="NC"/>
    <x v="123"/>
    <s v="area_code_415"/>
    <x v="0"/>
    <x v="0"/>
    <n v="26"/>
    <n v="152.1"/>
    <n v="114"/>
    <n v="25.86"/>
    <n v="89.3"/>
    <n v="67"/>
    <n v="7.59"/>
    <n v="194.6"/>
    <n v="111"/>
    <n v="8.76"/>
    <x v="4"/>
    <x v="3"/>
    <x v="4"/>
    <x v="1"/>
    <x v="0"/>
  </r>
  <r>
    <s v="KY"/>
    <x v="112"/>
    <s v="area_code_408"/>
    <x v="0"/>
    <x v="1"/>
    <n v="0"/>
    <n v="139.1"/>
    <n v="95"/>
    <n v="23.65"/>
    <n v="146.19999999999999"/>
    <n v="82"/>
    <n v="12.43"/>
    <n v="186.8"/>
    <n v="120"/>
    <n v="8.41"/>
    <x v="23"/>
    <x v="1"/>
    <x v="23"/>
    <x v="2"/>
    <x v="0"/>
  </r>
  <r>
    <s v="WY"/>
    <x v="6"/>
    <s v="area_code_408"/>
    <x v="0"/>
    <x v="1"/>
    <n v="0"/>
    <n v="150.5"/>
    <n v="121"/>
    <n v="25.59"/>
    <n v="345.1"/>
    <n v="132"/>
    <n v="29.33"/>
    <n v="183.9"/>
    <n v="97"/>
    <n v="8.2799999999999994"/>
    <x v="24"/>
    <x v="5"/>
    <x v="24"/>
    <x v="1"/>
    <x v="0"/>
  </r>
  <r>
    <s v="VA"/>
    <x v="112"/>
    <s v="area_code_415"/>
    <x v="0"/>
    <x v="1"/>
    <n v="0"/>
    <n v="231.9"/>
    <n v="73"/>
    <n v="39.42"/>
    <n v="165.9"/>
    <n v="123"/>
    <n v="14.1"/>
    <n v="225.7"/>
    <n v="86"/>
    <n v="10.16"/>
    <x v="73"/>
    <x v="0"/>
    <x v="73"/>
    <x v="3"/>
    <x v="0"/>
  </r>
  <r>
    <s v="AL"/>
    <x v="9"/>
    <s v="area_code_415"/>
    <x v="0"/>
    <x v="1"/>
    <n v="0"/>
    <n v="207.1"/>
    <n v="79"/>
    <n v="35.21"/>
    <n v="182"/>
    <n v="100"/>
    <n v="15.47"/>
    <n v="233.7"/>
    <n v="73"/>
    <n v="10.52"/>
    <x v="33"/>
    <x v="10"/>
    <x v="33"/>
    <x v="0"/>
    <x v="0"/>
  </r>
  <r>
    <s v="MN"/>
    <x v="176"/>
    <s v="area_code_510"/>
    <x v="0"/>
    <x v="1"/>
    <n v="0"/>
    <n v="225.4"/>
    <n v="104"/>
    <n v="38.32"/>
    <n v="110.7"/>
    <n v="90"/>
    <n v="9.41"/>
    <n v="134.1"/>
    <n v="109"/>
    <n v="6.03"/>
    <x v="107"/>
    <x v="1"/>
    <x v="107"/>
    <x v="2"/>
    <x v="1"/>
  </r>
  <r>
    <s v="FL"/>
    <x v="11"/>
    <s v="area_code_408"/>
    <x v="0"/>
    <x v="0"/>
    <n v="45"/>
    <n v="116.4"/>
    <n v="115"/>
    <n v="19.79"/>
    <n v="283.7"/>
    <n v="123"/>
    <n v="24.11"/>
    <n v="285.2"/>
    <n v="103"/>
    <n v="12.83"/>
    <x v="75"/>
    <x v="4"/>
    <x v="75"/>
    <x v="0"/>
    <x v="0"/>
  </r>
  <r>
    <s v="CA"/>
    <x v="13"/>
    <s v="area_code_415"/>
    <x v="0"/>
    <x v="1"/>
    <n v="0"/>
    <n v="195.7"/>
    <n v="104"/>
    <n v="33.270000000000003"/>
    <n v="182.9"/>
    <n v="121"/>
    <n v="15.55"/>
    <n v="324.7"/>
    <n v="110"/>
    <n v="14.61"/>
    <x v="53"/>
    <x v="6"/>
    <x v="53"/>
    <x v="1"/>
    <x v="0"/>
  </r>
  <r>
    <s v="KY"/>
    <x v="40"/>
    <s v="area_code_510"/>
    <x v="0"/>
    <x v="1"/>
    <n v="0"/>
    <n v="79.400000000000006"/>
    <n v="99"/>
    <n v="13.5"/>
    <n v="144.69999999999999"/>
    <n v="90"/>
    <n v="12.3"/>
    <n v="204.7"/>
    <n v="114"/>
    <n v="9.2100000000000009"/>
    <x v="9"/>
    <x v="1"/>
    <x v="9"/>
    <x v="1"/>
    <x v="0"/>
  </r>
  <r>
    <s v="AR"/>
    <x v="70"/>
    <s v="area_code_415"/>
    <x v="0"/>
    <x v="1"/>
    <n v="0"/>
    <n v="102.9"/>
    <n v="114"/>
    <n v="17.489999999999998"/>
    <n v="107.9"/>
    <n v="119"/>
    <n v="9.17"/>
    <n v="277.60000000000002"/>
    <n v="99"/>
    <n v="12.49"/>
    <x v="34"/>
    <x v="4"/>
    <x v="34"/>
    <x v="8"/>
    <x v="1"/>
  </r>
  <r>
    <s v="VT"/>
    <x v="179"/>
    <s v="area_code_510"/>
    <x v="0"/>
    <x v="1"/>
    <n v="0"/>
    <n v="99.7"/>
    <n v="74"/>
    <n v="16.95"/>
    <n v="183.1"/>
    <n v="97"/>
    <n v="15.56"/>
    <n v="220.3"/>
    <n v="73"/>
    <n v="9.91"/>
    <x v="90"/>
    <x v="4"/>
    <x v="90"/>
    <x v="1"/>
    <x v="0"/>
  </r>
  <r>
    <s v="MD"/>
    <x v="134"/>
    <s v="area_code_415"/>
    <x v="0"/>
    <x v="1"/>
    <n v="0"/>
    <n v="213.4"/>
    <n v="107"/>
    <n v="36.28"/>
    <n v="176.2"/>
    <n v="82"/>
    <n v="14.98"/>
    <n v="180.1"/>
    <n v="125"/>
    <n v="8.1"/>
    <x v="57"/>
    <x v="4"/>
    <x v="57"/>
    <x v="1"/>
    <x v="0"/>
  </r>
  <r>
    <s v="CT"/>
    <x v="198"/>
    <s v="area_code_415"/>
    <x v="0"/>
    <x v="1"/>
    <n v="0"/>
    <n v="185.1"/>
    <n v="103"/>
    <n v="31.47"/>
    <n v="193.8"/>
    <n v="148"/>
    <n v="16.47"/>
    <n v="305.2"/>
    <n v="79"/>
    <n v="13.73"/>
    <x v="32"/>
    <x v="3"/>
    <x v="32"/>
    <x v="5"/>
    <x v="0"/>
  </r>
  <r>
    <s v="MI"/>
    <x v="39"/>
    <s v="area_code_415"/>
    <x v="0"/>
    <x v="1"/>
    <n v="0"/>
    <n v="166.5"/>
    <n v="101"/>
    <n v="28.31"/>
    <n v="78.3"/>
    <n v="108"/>
    <n v="6.66"/>
    <n v="221.9"/>
    <n v="112"/>
    <n v="9.99"/>
    <x v="73"/>
    <x v="11"/>
    <x v="73"/>
    <x v="3"/>
    <x v="0"/>
  </r>
  <r>
    <s v="PA"/>
    <x v="141"/>
    <s v="area_code_415"/>
    <x v="0"/>
    <x v="1"/>
    <n v="0"/>
    <n v="220.1"/>
    <n v="100"/>
    <n v="37.42"/>
    <n v="182.2"/>
    <n v="112"/>
    <n v="15.49"/>
    <n v="250.3"/>
    <n v="98"/>
    <n v="11.26"/>
    <x v="43"/>
    <x v="10"/>
    <x v="43"/>
    <x v="0"/>
    <x v="0"/>
  </r>
  <r>
    <s v="CA"/>
    <x v="93"/>
    <s v="area_code_510"/>
    <x v="0"/>
    <x v="1"/>
    <n v="0"/>
    <n v="102.8"/>
    <n v="93"/>
    <n v="17.48"/>
    <n v="137.80000000000001"/>
    <n v="91"/>
    <n v="11.71"/>
    <n v="158.9"/>
    <n v="110"/>
    <n v="7.15"/>
    <x v="56"/>
    <x v="1"/>
    <x v="56"/>
    <x v="0"/>
    <x v="0"/>
  </r>
  <r>
    <s v="KY"/>
    <x v="102"/>
    <s v="area_code_415"/>
    <x v="0"/>
    <x v="1"/>
    <n v="0"/>
    <n v="181.3"/>
    <n v="134"/>
    <n v="30.82"/>
    <n v="136"/>
    <n v="84"/>
    <n v="11.56"/>
    <n v="271.2"/>
    <n v="122"/>
    <n v="12.2"/>
    <x v="19"/>
    <x v="0"/>
    <x v="19"/>
    <x v="0"/>
    <x v="0"/>
  </r>
  <r>
    <s v="MO"/>
    <x v="45"/>
    <s v="area_code_510"/>
    <x v="0"/>
    <x v="1"/>
    <n v="0"/>
    <n v="281.10000000000002"/>
    <n v="113"/>
    <n v="47.79"/>
    <n v="236.1"/>
    <n v="82"/>
    <n v="20.07"/>
    <n v="230.1"/>
    <n v="60"/>
    <n v="10.35"/>
    <x v="54"/>
    <x v="0"/>
    <x v="54"/>
    <x v="0"/>
    <x v="1"/>
  </r>
  <r>
    <s v="CT"/>
    <x v="77"/>
    <s v="area_code_415"/>
    <x v="0"/>
    <x v="1"/>
    <n v="0"/>
    <n v="251.3"/>
    <n v="91"/>
    <n v="42.72"/>
    <n v="207.2"/>
    <n v="95"/>
    <n v="17.61"/>
    <n v="249"/>
    <n v="70"/>
    <n v="11.21"/>
    <x v="89"/>
    <x v="5"/>
    <x v="89"/>
    <x v="0"/>
    <x v="1"/>
  </r>
  <r>
    <s v="IL"/>
    <x v="9"/>
    <s v="area_code_408"/>
    <x v="0"/>
    <x v="1"/>
    <n v="0"/>
    <n v="141.9"/>
    <n v="103"/>
    <n v="24.12"/>
    <n v="201"/>
    <n v="110"/>
    <n v="17.09"/>
    <n v="211.2"/>
    <n v="117"/>
    <n v="9.5"/>
    <x v="54"/>
    <x v="12"/>
    <x v="54"/>
    <x v="0"/>
    <x v="0"/>
  </r>
  <r>
    <s v="RI"/>
    <x v="134"/>
    <s v="area_code_415"/>
    <x v="0"/>
    <x v="0"/>
    <n v="30"/>
    <n v="148"/>
    <n v="96"/>
    <n v="25.16"/>
    <n v="149.6"/>
    <n v="128"/>
    <n v="12.72"/>
    <n v="220.3"/>
    <n v="99"/>
    <n v="9.91"/>
    <x v="84"/>
    <x v="1"/>
    <x v="84"/>
    <x v="3"/>
    <x v="0"/>
  </r>
  <r>
    <s v="TN"/>
    <x v="113"/>
    <s v="area_code_415"/>
    <x v="1"/>
    <x v="1"/>
    <n v="0"/>
    <n v="200.7"/>
    <n v="72"/>
    <n v="34.119999999999997"/>
    <n v="271.2"/>
    <n v="79"/>
    <n v="23.05"/>
    <n v="188.2"/>
    <n v="97"/>
    <n v="8.4700000000000006"/>
    <x v="83"/>
    <x v="2"/>
    <x v="83"/>
    <x v="2"/>
    <x v="1"/>
  </r>
  <r>
    <s v="WV"/>
    <x v="133"/>
    <s v="area_code_510"/>
    <x v="0"/>
    <x v="1"/>
    <n v="0"/>
    <n v="238.3"/>
    <n v="83"/>
    <n v="40.51"/>
    <n v="193.7"/>
    <n v="112"/>
    <n v="16.46"/>
    <n v="167.7"/>
    <n v="79"/>
    <n v="7.55"/>
    <x v="27"/>
    <x v="3"/>
    <x v="27"/>
    <x v="5"/>
    <x v="0"/>
  </r>
  <r>
    <s v="MS"/>
    <x v="0"/>
    <s v="area_code_415"/>
    <x v="0"/>
    <x v="1"/>
    <n v="0"/>
    <n v="220.1"/>
    <n v="103"/>
    <n v="37.42"/>
    <n v="200.4"/>
    <n v="94"/>
    <n v="17.03"/>
    <n v="272.60000000000002"/>
    <n v="147"/>
    <n v="12.27"/>
    <x v="33"/>
    <x v="1"/>
    <x v="33"/>
    <x v="2"/>
    <x v="0"/>
  </r>
  <r>
    <s v="WI"/>
    <x v="130"/>
    <s v="area_code_510"/>
    <x v="0"/>
    <x v="0"/>
    <n v="15"/>
    <n v="124.7"/>
    <n v="99"/>
    <n v="21.2"/>
    <n v="188.3"/>
    <n v="108"/>
    <n v="16.010000000000002"/>
    <n v="208.6"/>
    <n v="95"/>
    <n v="9.39"/>
    <x v="40"/>
    <x v="0"/>
    <x v="40"/>
    <x v="1"/>
    <x v="0"/>
  </r>
  <r>
    <s v="SC"/>
    <x v="28"/>
    <s v="area_code_415"/>
    <x v="0"/>
    <x v="1"/>
    <n v="0"/>
    <n v="147"/>
    <n v="101"/>
    <n v="24.99"/>
    <n v="202.5"/>
    <n v="89"/>
    <n v="17.21"/>
    <n v="250.8"/>
    <n v="97"/>
    <n v="11.29"/>
    <x v="29"/>
    <x v="0"/>
    <x v="29"/>
    <x v="0"/>
    <x v="0"/>
  </r>
  <r>
    <s v="RI"/>
    <x v="37"/>
    <s v="area_code_408"/>
    <x v="0"/>
    <x v="1"/>
    <n v="0"/>
    <n v="194.2"/>
    <n v="107"/>
    <n v="33.01"/>
    <n v="174"/>
    <n v="107"/>
    <n v="14.79"/>
    <n v="89.3"/>
    <n v="83"/>
    <n v="4.0199999999999996"/>
    <x v="7"/>
    <x v="5"/>
    <x v="7"/>
    <x v="2"/>
    <x v="0"/>
  </r>
  <r>
    <s v="AR"/>
    <x v="51"/>
    <s v="area_code_408"/>
    <x v="0"/>
    <x v="0"/>
    <n v="33"/>
    <n v="214.9"/>
    <n v="91"/>
    <n v="36.53"/>
    <n v="288.7"/>
    <n v="97"/>
    <n v="24.54"/>
    <n v="262.7"/>
    <n v="64"/>
    <n v="11.82"/>
    <x v="111"/>
    <x v="5"/>
    <x v="111"/>
    <x v="1"/>
    <x v="0"/>
  </r>
  <r>
    <s v="NM"/>
    <x v="121"/>
    <s v="area_code_408"/>
    <x v="0"/>
    <x v="1"/>
    <n v="0"/>
    <n v="269.8"/>
    <n v="94"/>
    <n v="45.87"/>
    <n v="227"/>
    <n v="125"/>
    <n v="19.3"/>
    <n v="212.2"/>
    <n v="135"/>
    <n v="9.5500000000000007"/>
    <x v="86"/>
    <x v="3"/>
    <x v="86"/>
    <x v="0"/>
    <x v="1"/>
  </r>
  <r>
    <s v="NH"/>
    <x v="110"/>
    <s v="area_code_408"/>
    <x v="0"/>
    <x v="0"/>
    <n v="29"/>
    <n v="151.19999999999999"/>
    <n v="147"/>
    <n v="25.7"/>
    <n v="203.2"/>
    <n v="135"/>
    <n v="17.27"/>
    <n v="296.10000000000002"/>
    <n v="98"/>
    <n v="13.32"/>
    <x v="22"/>
    <x v="5"/>
    <x v="22"/>
    <x v="2"/>
    <x v="0"/>
  </r>
  <r>
    <s v="NM"/>
    <x v="155"/>
    <s v="area_code_415"/>
    <x v="0"/>
    <x v="1"/>
    <n v="0"/>
    <n v="111.3"/>
    <n v="110"/>
    <n v="18.920000000000002"/>
    <n v="226.8"/>
    <n v="107"/>
    <n v="19.28"/>
    <n v="187.6"/>
    <n v="66"/>
    <n v="8.44"/>
    <x v="39"/>
    <x v="14"/>
    <x v="39"/>
    <x v="0"/>
    <x v="0"/>
  </r>
  <r>
    <s v="AZ"/>
    <x v="96"/>
    <s v="area_code_408"/>
    <x v="0"/>
    <x v="1"/>
    <n v="0"/>
    <n v="273.8"/>
    <n v="120"/>
    <n v="46.55"/>
    <n v="149.30000000000001"/>
    <n v="104"/>
    <n v="12.69"/>
    <n v="193.9"/>
    <n v="127"/>
    <n v="8.73"/>
    <x v="7"/>
    <x v="0"/>
    <x v="7"/>
    <x v="1"/>
    <x v="0"/>
  </r>
  <r>
    <s v="TN"/>
    <x v="130"/>
    <s v="area_code_510"/>
    <x v="0"/>
    <x v="1"/>
    <n v="0"/>
    <n v="142.6"/>
    <n v="88"/>
    <n v="24.24"/>
    <n v="85.4"/>
    <n v="96"/>
    <n v="7.26"/>
    <n v="246.4"/>
    <n v="80"/>
    <n v="11.09"/>
    <x v="100"/>
    <x v="4"/>
    <x v="100"/>
    <x v="0"/>
    <x v="0"/>
  </r>
  <r>
    <s v="OK"/>
    <x v="42"/>
    <s v="area_code_408"/>
    <x v="0"/>
    <x v="1"/>
    <n v="0"/>
    <n v="178"/>
    <n v="49"/>
    <n v="30.26"/>
    <n v="141.5"/>
    <n v="83"/>
    <n v="12.03"/>
    <n v="265.10000000000002"/>
    <n v="114"/>
    <n v="11.93"/>
    <x v="46"/>
    <x v="1"/>
    <x v="46"/>
    <x v="3"/>
    <x v="0"/>
  </r>
  <r>
    <s v="SC"/>
    <x v="76"/>
    <s v="area_code_510"/>
    <x v="0"/>
    <x v="0"/>
    <n v="33"/>
    <n v="180.5"/>
    <n v="94"/>
    <n v="30.69"/>
    <n v="241.9"/>
    <n v="107"/>
    <n v="20.56"/>
    <n v="225.4"/>
    <n v="113"/>
    <n v="10.14"/>
    <x v="33"/>
    <x v="5"/>
    <x v="33"/>
    <x v="0"/>
    <x v="0"/>
  </r>
  <r>
    <s v="WY"/>
    <x v="189"/>
    <s v="area_code_415"/>
    <x v="0"/>
    <x v="0"/>
    <n v="27"/>
    <n v="141.69999999999999"/>
    <n v="125"/>
    <n v="24.09"/>
    <n v="160.69999999999999"/>
    <n v="136"/>
    <n v="13.66"/>
    <n v="170.3"/>
    <n v="81"/>
    <n v="7.66"/>
    <x v="38"/>
    <x v="5"/>
    <x v="38"/>
    <x v="0"/>
    <x v="0"/>
  </r>
  <r>
    <s v="IN"/>
    <x v="75"/>
    <s v="area_code_415"/>
    <x v="0"/>
    <x v="1"/>
    <n v="0"/>
    <n v="289.3"/>
    <n v="73"/>
    <n v="49.18"/>
    <n v="179.8"/>
    <n v="86"/>
    <n v="15.28"/>
    <n v="186.7"/>
    <n v="94"/>
    <n v="8.4"/>
    <x v="69"/>
    <x v="2"/>
    <x v="69"/>
    <x v="0"/>
    <x v="1"/>
  </r>
  <r>
    <s v="CT"/>
    <x v="30"/>
    <s v="area_code_510"/>
    <x v="0"/>
    <x v="0"/>
    <n v="26"/>
    <n v="193.4"/>
    <n v="91"/>
    <n v="32.880000000000003"/>
    <n v="198.3"/>
    <n v="94"/>
    <n v="16.86"/>
    <n v="257.2"/>
    <n v="94"/>
    <n v="11.57"/>
    <x v="17"/>
    <x v="1"/>
    <x v="17"/>
    <x v="2"/>
    <x v="0"/>
  </r>
  <r>
    <s v="NY"/>
    <x v="18"/>
    <s v="area_code_510"/>
    <x v="0"/>
    <x v="1"/>
    <n v="0"/>
    <n v="184.2"/>
    <n v="92"/>
    <n v="31.31"/>
    <n v="215"/>
    <n v="96"/>
    <n v="18.28"/>
    <n v="100.1"/>
    <n v="64"/>
    <n v="4.5"/>
    <x v="61"/>
    <x v="4"/>
    <x v="61"/>
    <x v="0"/>
    <x v="0"/>
  </r>
  <r>
    <s v="TX"/>
    <x v="77"/>
    <s v="area_code_415"/>
    <x v="0"/>
    <x v="0"/>
    <n v="30"/>
    <n v="144.1"/>
    <n v="87"/>
    <n v="24.5"/>
    <n v="229.8"/>
    <n v="88"/>
    <n v="19.53"/>
    <n v="174.7"/>
    <n v="90"/>
    <n v="7.86"/>
    <x v="70"/>
    <x v="4"/>
    <x v="70"/>
    <x v="2"/>
    <x v="0"/>
  </r>
  <r>
    <s v="IL"/>
    <x v="8"/>
    <s v="area_code_415"/>
    <x v="0"/>
    <x v="1"/>
    <n v="0"/>
    <n v="180.3"/>
    <n v="84"/>
    <n v="30.65"/>
    <n v="199.9"/>
    <n v="129"/>
    <n v="16.989999999999998"/>
    <n v="280.10000000000002"/>
    <n v="62"/>
    <n v="12.6"/>
    <x v="47"/>
    <x v="8"/>
    <x v="47"/>
    <x v="3"/>
    <x v="0"/>
  </r>
  <r>
    <s v="LA"/>
    <x v="97"/>
    <s v="area_code_510"/>
    <x v="0"/>
    <x v="0"/>
    <n v="24"/>
    <n v="179.2"/>
    <n v="76"/>
    <n v="30.46"/>
    <n v="253.3"/>
    <n v="64"/>
    <n v="21.53"/>
    <n v="196.5"/>
    <n v="108"/>
    <n v="8.84"/>
    <x v="127"/>
    <x v="0"/>
    <x v="127"/>
    <x v="0"/>
    <x v="0"/>
  </r>
  <r>
    <s v="WA"/>
    <x v="32"/>
    <s v="area_code_510"/>
    <x v="0"/>
    <x v="1"/>
    <n v="0"/>
    <n v="50.6"/>
    <n v="91"/>
    <n v="8.6"/>
    <n v="308.89999999999998"/>
    <n v="78"/>
    <n v="26.26"/>
    <n v="255.4"/>
    <n v="114"/>
    <n v="11.49"/>
    <x v="0"/>
    <x v="1"/>
    <x v="0"/>
    <x v="2"/>
    <x v="0"/>
  </r>
  <r>
    <s v="MD"/>
    <x v="6"/>
    <s v="area_code_415"/>
    <x v="0"/>
    <x v="1"/>
    <n v="0"/>
    <n v="223.7"/>
    <n v="73"/>
    <n v="38.03"/>
    <n v="205.2"/>
    <n v="69"/>
    <n v="17.440000000000001"/>
    <n v="282.89999999999998"/>
    <n v="51"/>
    <n v="12.73"/>
    <x v="22"/>
    <x v="8"/>
    <x v="22"/>
    <x v="2"/>
    <x v="0"/>
  </r>
  <r>
    <s v="KY"/>
    <x v="45"/>
    <s v="area_code_415"/>
    <x v="0"/>
    <x v="1"/>
    <n v="0"/>
    <n v="220.5"/>
    <n v="110"/>
    <n v="37.49"/>
    <n v="180.8"/>
    <n v="114"/>
    <n v="15.37"/>
    <n v="156.5"/>
    <n v="102"/>
    <n v="7.04"/>
    <x v="113"/>
    <x v="2"/>
    <x v="113"/>
    <x v="0"/>
    <x v="0"/>
  </r>
  <r>
    <s v="DC"/>
    <x v="126"/>
    <s v="area_code_415"/>
    <x v="1"/>
    <x v="1"/>
    <n v="0"/>
    <n v="217.6"/>
    <n v="110"/>
    <n v="36.99"/>
    <n v="195.7"/>
    <n v="105"/>
    <n v="16.63"/>
    <n v="178.8"/>
    <n v="106"/>
    <n v="8.0500000000000007"/>
    <x v="91"/>
    <x v="10"/>
    <x v="91"/>
    <x v="2"/>
    <x v="0"/>
  </r>
  <r>
    <s v="IL"/>
    <x v="119"/>
    <s v="area_code_415"/>
    <x v="0"/>
    <x v="0"/>
    <n v="37"/>
    <n v="138.30000000000001"/>
    <n v="81"/>
    <n v="23.51"/>
    <n v="187.6"/>
    <n v="74"/>
    <n v="15.95"/>
    <n v="158"/>
    <n v="113"/>
    <n v="7.11"/>
    <x v="43"/>
    <x v="8"/>
    <x v="43"/>
    <x v="2"/>
    <x v="0"/>
  </r>
  <r>
    <s v="WY"/>
    <x v="102"/>
    <s v="area_code_408"/>
    <x v="0"/>
    <x v="1"/>
    <n v="0"/>
    <n v="160.30000000000001"/>
    <n v="86"/>
    <n v="27.25"/>
    <n v="195.2"/>
    <n v="80"/>
    <n v="16.59"/>
    <n v="163.30000000000001"/>
    <n v="109"/>
    <n v="7.35"/>
    <x v="8"/>
    <x v="0"/>
    <x v="8"/>
    <x v="2"/>
    <x v="0"/>
  </r>
  <r>
    <s v="SD"/>
    <x v="141"/>
    <s v="area_code_415"/>
    <x v="0"/>
    <x v="1"/>
    <n v="0"/>
    <n v="191.8"/>
    <n v="67"/>
    <n v="32.61"/>
    <n v="261.10000000000002"/>
    <n v="52"/>
    <n v="22.19"/>
    <n v="252.7"/>
    <n v="112"/>
    <n v="11.37"/>
    <x v="81"/>
    <x v="0"/>
    <x v="81"/>
    <x v="8"/>
    <x v="0"/>
  </r>
  <r>
    <s v="SD"/>
    <x v="87"/>
    <s v="area_code_408"/>
    <x v="0"/>
    <x v="0"/>
    <n v="18"/>
    <n v="103.9"/>
    <n v="112"/>
    <n v="17.66"/>
    <n v="230"/>
    <n v="111"/>
    <n v="19.55"/>
    <n v="155.69999999999999"/>
    <n v="119"/>
    <n v="7.01"/>
    <x v="31"/>
    <x v="1"/>
    <x v="31"/>
    <x v="1"/>
    <x v="0"/>
  </r>
  <r>
    <s v="GA"/>
    <x v="63"/>
    <s v="area_code_510"/>
    <x v="0"/>
    <x v="1"/>
    <n v="0"/>
    <n v="214.9"/>
    <n v="103"/>
    <n v="36.53"/>
    <n v="218.4"/>
    <n v="121"/>
    <n v="18.559999999999999"/>
    <n v="272.60000000000002"/>
    <n v="110"/>
    <n v="12.27"/>
    <x v="63"/>
    <x v="0"/>
    <x v="63"/>
    <x v="2"/>
    <x v="0"/>
  </r>
  <r>
    <s v="IN"/>
    <x v="36"/>
    <s v="area_code_415"/>
    <x v="0"/>
    <x v="1"/>
    <n v="0"/>
    <n v="165.9"/>
    <n v="122"/>
    <n v="28.2"/>
    <n v="212.2"/>
    <n v="107"/>
    <n v="18.04"/>
    <n v="202.1"/>
    <n v="94"/>
    <n v="9.09"/>
    <x v="24"/>
    <x v="0"/>
    <x v="24"/>
    <x v="0"/>
    <x v="0"/>
  </r>
  <r>
    <s v="IA"/>
    <x v="174"/>
    <s v="area_code_415"/>
    <x v="1"/>
    <x v="0"/>
    <n v="29"/>
    <n v="92.2"/>
    <n v="95"/>
    <n v="15.67"/>
    <n v="200"/>
    <n v="101"/>
    <n v="17"/>
    <n v="119.1"/>
    <n v="99"/>
    <n v="5.36"/>
    <x v="16"/>
    <x v="8"/>
    <x v="16"/>
    <x v="0"/>
    <x v="1"/>
  </r>
  <r>
    <s v="OK"/>
    <x v="55"/>
    <s v="area_code_408"/>
    <x v="0"/>
    <x v="1"/>
    <n v="0"/>
    <n v="182.3"/>
    <n v="106"/>
    <n v="30.99"/>
    <n v="259.89999999999998"/>
    <n v="102"/>
    <n v="22.09"/>
    <n v="150.5"/>
    <n v="98"/>
    <n v="6.77"/>
    <x v="54"/>
    <x v="3"/>
    <x v="54"/>
    <x v="0"/>
    <x v="0"/>
  </r>
  <r>
    <s v="WA"/>
    <x v="118"/>
    <s v="area_code_415"/>
    <x v="0"/>
    <x v="1"/>
    <n v="0"/>
    <n v="211.4"/>
    <n v="94"/>
    <n v="35.94"/>
    <n v="184.5"/>
    <n v="89"/>
    <n v="15.68"/>
    <n v="243.2"/>
    <n v="108"/>
    <n v="10.94"/>
    <x v="129"/>
    <x v="1"/>
    <x v="129"/>
    <x v="0"/>
    <x v="1"/>
  </r>
  <r>
    <s v="NH"/>
    <x v="35"/>
    <s v="area_code_415"/>
    <x v="0"/>
    <x v="1"/>
    <n v="0"/>
    <n v="87.1"/>
    <n v="110"/>
    <n v="14.81"/>
    <n v="202.1"/>
    <n v="110"/>
    <n v="17.18"/>
    <n v="137.9"/>
    <n v="89"/>
    <n v="6.21"/>
    <x v="90"/>
    <x v="4"/>
    <x v="90"/>
    <x v="2"/>
    <x v="0"/>
  </r>
  <r>
    <s v="MO"/>
    <x v="82"/>
    <s v="area_code_415"/>
    <x v="0"/>
    <x v="1"/>
    <n v="0"/>
    <n v="196.7"/>
    <n v="117"/>
    <n v="33.44"/>
    <n v="272"/>
    <n v="89"/>
    <n v="23.12"/>
    <n v="199.9"/>
    <n v="62"/>
    <n v="9"/>
    <x v="3"/>
    <x v="12"/>
    <x v="3"/>
    <x v="3"/>
    <x v="0"/>
  </r>
  <r>
    <s v="OR"/>
    <x v="73"/>
    <s v="area_code_415"/>
    <x v="0"/>
    <x v="1"/>
    <n v="0"/>
    <n v="114.6"/>
    <n v="94"/>
    <n v="19.48"/>
    <n v="209"/>
    <n v="78"/>
    <n v="17.77"/>
    <n v="209.7"/>
    <n v="97"/>
    <n v="9.44"/>
    <x v="24"/>
    <x v="1"/>
    <x v="24"/>
    <x v="2"/>
    <x v="0"/>
  </r>
  <r>
    <s v="MN"/>
    <x v="17"/>
    <s v="area_code_415"/>
    <x v="0"/>
    <x v="1"/>
    <n v="0"/>
    <n v="204.5"/>
    <n v="88"/>
    <n v="34.770000000000003"/>
    <n v="178.4"/>
    <n v="85"/>
    <n v="15.16"/>
    <n v="229.6"/>
    <n v="78"/>
    <n v="10.33"/>
    <x v="44"/>
    <x v="10"/>
    <x v="44"/>
    <x v="1"/>
    <x v="0"/>
  </r>
  <r>
    <s v="MA"/>
    <x v="35"/>
    <s v="area_code_510"/>
    <x v="1"/>
    <x v="1"/>
    <n v="0"/>
    <n v="272.8"/>
    <n v="60"/>
    <n v="46.38"/>
    <n v="216.5"/>
    <n v="113"/>
    <n v="18.399999999999999"/>
    <n v="245.1"/>
    <n v="67"/>
    <n v="11.03"/>
    <x v="49"/>
    <x v="10"/>
    <x v="49"/>
    <x v="5"/>
    <x v="1"/>
  </r>
  <r>
    <s v="ME"/>
    <x v="101"/>
    <s v="area_code_510"/>
    <x v="0"/>
    <x v="0"/>
    <n v="22"/>
    <n v="174.8"/>
    <n v="110"/>
    <n v="29.72"/>
    <n v="191.4"/>
    <n v="104"/>
    <n v="16.27"/>
    <n v="119.5"/>
    <n v="103"/>
    <n v="5.38"/>
    <x v="42"/>
    <x v="5"/>
    <x v="42"/>
    <x v="3"/>
    <x v="0"/>
  </r>
  <r>
    <s v="MO"/>
    <x v="137"/>
    <s v="area_code_415"/>
    <x v="1"/>
    <x v="1"/>
    <n v="0"/>
    <n v="128.9"/>
    <n v="71"/>
    <n v="21.91"/>
    <n v="281.89999999999998"/>
    <n v="91"/>
    <n v="23.96"/>
    <n v="209.1"/>
    <n v="100"/>
    <n v="9.41"/>
    <x v="79"/>
    <x v="4"/>
    <x v="79"/>
    <x v="1"/>
    <x v="0"/>
  </r>
  <r>
    <s v="MN"/>
    <x v="51"/>
    <s v="area_code_510"/>
    <x v="0"/>
    <x v="1"/>
    <n v="0"/>
    <n v="54.8"/>
    <n v="123"/>
    <n v="9.32"/>
    <n v="147.5"/>
    <n v="76"/>
    <n v="12.54"/>
    <n v="173.6"/>
    <n v="119"/>
    <n v="7.81"/>
    <x v="73"/>
    <x v="8"/>
    <x v="73"/>
    <x v="0"/>
    <x v="0"/>
  </r>
  <r>
    <s v="NE"/>
    <x v="27"/>
    <s v="area_code_415"/>
    <x v="0"/>
    <x v="1"/>
    <n v="0"/>
    <n v="259"/>
    <n v="105"/>
    <n v="44.03"/>
    <n v="166.9"/>
    <n v="125"/>
    <n v="14.19"/>
    <n v="255.1"/>
    <n v="107"/>
    <n v="11.48"/>
    <x v="22"/>
    <x v="0"/>
    <x v="22"/>
    <x v="3"/>
    <x v="0"/>
  </r>
  <r>
    <s v="MA"/>
    <x v="28"/>
    <s v="area_code_415"/>
    <x v="0"/>
    <x v="1"/>
    <n v="0"/>
    <n v="182.6"/>
    <n v="76"/>
    <n v="31.04"/>
    <n v="145.19999999999999"/>
    <n v="75"/>
    <n v="12.34"/>
    <n v="162.6"/>
    <n v="127"/>
    <n v="7.32"/>
    <x v="42"/>
    <x v="8"/>
    <x v="42"/>
    <x v="8"/>
    <x v="1"/>
  </r>
  <r>
    <s v="LA"/>
    <x v="143"/>
    <s v="area_code_408"/>
    <x v="0"/>
    <x v="1"/>
    <n v="0"/>
    <n v="123"/>
    <n v="111"/>
    <n v="20.91"/>
    <n v="237.2"/>
    <n v="103"/>
    <n v="20.16"/>
    <n v="258.8"/>
    <n v="91"/>
    <n v="11.65"/>
    <x v="38"/>
    <x v="14"/>
    <x v="38"/>
    <x v="0"/>
    <x v="0"/>
  </r>
  <r>
    <s v="IA"/>
    <x v="2"/>
    <s v="area_code_415"/>
    <x v="0"/>
    <x v="1"/>
    <n v="0"/>
    <n v="169.9"/>
    <n v="96"/>
    <n v="28.88"/>
    <n v="190.3"/>
    <n v="103"/>
    <n v="16.18"/>
    <n v="188"/>
    <n v="82"/>
    <n v="8.4600000000000009"/>
    <x v="53"/>
    <x v="5"/>
    <x v="53"/>
    <x v="2"/>
    <x v="0"/>
  </r>
  <r>
    <s v="ME"/>
    <x v="68"/>
    <s v="area_code_408"/>
    <x v="0"/>
    <x v="0"/>
    <n v="27"/>
    <n v="201.4"/>
    <n v="85"/>
    <n v="34.24"/>
    <n v="101.3"/>
    <n v="60"/>
    <n v="8.61"/>
    <n v="258.5"/>
    <n v="113"/>
    <n v="11.63"/>
    <x v="78"/>
    <x v="1"/>
    <x v="78"/>
    <x v="2"/>
    <x v="0"/>
  </r>
  <r>
    <s v="VT"/>
    <x v="9"/>
    <s v="area_code_415"/>
    <x v="0"/>
    <x v="0"/>
    <n v="24"/>
    <n v="124.2"/>
    <n v="146"/>
    <n v="21.11"/>
    <n v="266.2"/>
    <n v="84"/>
    <n v="22.63"/>
    <n v="156.69999999999999"/>
    <n v="108"/>
    <n v="7.05"/>
    <x v="73"/>
    <x v="3"/>
    <x v="73"/>
    <x v="3"/>
    <x v="0"/>
  </r>
  <r>
    <s v="MA"/>
    <x v="103"/>
    <s v="area_code_408"/>
    <x v="0"/>
    <x v="1"/>
    <n v="0"/>
    <n v="128.19999999999999"/>
    <n v="109"/>
    <n v="21.79"/>
    <n v="274.5"/>
    <n v="112"/>
    <n v="23.33"/>
    <n v="211"/>
    <n v="90"/>
    <n v="9.49"/>
    <x v="111"/>
    <x v="4"/>
    <x v="111"/>
    <x v="1"/>
    <x v="0"/>
  </r>
  <r>
    <s v="SD"/>
    <x v="34"/>
    <s v="area_code_408"/>
    <x v="0"/>
    <x v="0"/>
    <n v="20"/>
    <n v="214.3"/>
    <n v="126"/>
    <n v="36.43"/>
    <n v="250.1"/>
    <n v="102"/>
    <n v="21.26"/>
    <n v="189.7"/>
    <n v="116"/>
    <n v="8.5399999999999991"/>
    <x v="15"/>
    <x v="4"/>
    <x v="15"/>
    <x v="4"/>
    <x v="0"/>
  </r>
  <r>
    <s v="WA"/>
    <x v="27"/>
    <s v="area_code_415"/>
    <x v="0"/>
    <x v="0"/>
    <n v="24"/>
    <n v="243.3"/>
    <n v="107"/>
    <n v="41.36"/>
    <n v="226.8"/>
    <n v="111"/>
    <n v="19.28"/>
    <n v="138.5"/>
    <n v="117"/>
    <n v="6.23"/>
    <x v="34"/>
    <x v="4"/>
    <x v="34"/>
    <x v="4"/>
    <x v="0"/>
  </r>
  <r>
    <s v="IN"/>
    <x v="3"/>
    <s v="area_code_510"/>
    <x v="0"/>
    <x v="0"/>
    <n v="17"/>
    <n v="200.7"/>
    <n v="107"/>
    <n v="34.119999999999997"/>
    <n v="212.5"/>
    <n v="109"/>
    <n v="18.059999999999999"/>
    <n v="204"/>
    <n v="136"/>
    <n v="9.18"/>
    <x v="89"/>
    <x v="0"/>
    <x v="89"/>
    <x v="4"/>
    <x v="0"/>
  </r>
  <r>
    <s v="MN"/>
    <x v="33"/>
    <s v="area_code_415"/>
    <x v="0"/>
    <x v="1"/>
    <n v="0"/>
    <n v="231.4"/>
    <n v="93"/>
    <n v="39.340000000000003"/>
    <n v="168"/>
    <n v="92"/>
    <n v="14.28"/>
    <n v="257.2"/>
    <n v="124"/>
    <n v="11.57"/>
    <x v="37"/>
    <x v="1"/>
    <x v="37"/>
    <x v="2"/>
    <x v="0"/>
  </r>
  <r>
    <s v="OR"/>
    <x v="107"/>
    <s v="area_code_415"/>
    <x v="0"/>
    <x v="0"/>
    <n v="32"/>
    <n v="235"/>
    <n v="85"/>
    <n v="39.950000000000003"/>
    <n v="240.5"/>
    <n v="101"/>
    <n v="20.440000000000001"/>
    <n v="147.1"/>
    <n v="88"/>
    <n v="6.62"/>
    <x v="18"/>
    <x v="0"/>
    <x v="18"/>
    <x v="2"/>
    <x v="0"/>
  </r>
  <r>
    <s v="WV"/>
    <x v="119"/>
    <s v="area_code_408"/>
    <x v="0"/>
    <x v="1"/>
    <n v="0"/>
    <n v="237.5"/>
    <n v="117"/>
    <n v="40.380000000000003"/>
    <n v="211.1"/>
    <n v="114"/>
    <n v="17.940000000000001"/>
    <n v="163.9"/>
    <n v="114"/>
    <n v="7.38"/>
    <x v="84"/>
    <x v="0"/>
    <x v="84"/>
    <x v="0"/>
    <x v="0"/>
  </r>
  <r>
    <s v="MO"/>
    <x v="128"/>
    <s v="area_code_510"/>
    <x v="0"/>
    <x v="1"/>
    <n v="0"/>
    <n v="228.3"/>
    <n v="80"/>
    <n v="38.81"/>
    <n v="130.9"/>
    <n v="75"/>
    <n v="11.13"/>
    <n v="156.69999999999999"/>
    <n v="98"/>
    <n v="7.05"/>
    <x v="80"/>
    <x v="6"/>
    <x v="80"/>
    <x v="0"/>
    <x v="0"/>
  </r>
  <r>
    <s v="UT"/>
    <x v="141"/>
    <s v="area_code_415"/>
    <x v="0"/>
    <x v="1"/>
    <n v="0"/>
    <n v="160.5"/>
    <n v="123"/>
    <n v="27.29"/>
    <n v="185.9"/>
    <n v="110"/>
    <n v="15.8"/>
    <n v="150.4"/>
    <n v="94"/>
    <n v="6.77"/>
    <x v="85"/>
    <x v="1"/>
    <x v="85"/>
    <x v="0"/>
    <x v="0"/>
  </r>
  <r>
    <s v="ME"/>
    <x v="65"/>
    <s v="area_code_510"/>
    <x v="0"/>
    <x v="0"/>
    <n v="48"/>
    <n v="185.6"/>
    <n v="125"/>
    <n v="31.55"/>
    <n v="224.6"/>
    <n v="125"/>
    <n v="19.09"/>
    <n v="284.7"/>
    <n v="87"/>
    <n v="12.81"/>
    <x v="72"/>
    <x v="0"/>
    <x v="72"/>
    <x v="0"/>
    <x v="0"/>
  </r>
  <r>
    <s v="IL"/>
    <x v="101"/>
    <s v="area_code_415"/>
    <x v="0"/>
    <x v="1"/>
    <n v="0"/>
    <n v="214.3"/>
    <n v="138"/>
    <n v="36.43"/>
    <n v="232.2"/>
    <n v="99"/>
    <n v="19.739999999999998"/>
    <n v="0"/>
    <n v="0"/>
    <n v="0"/>
    <x v="24"/>
    <x v="1"/>
    <x v="24"/>
    <x v="0"/>
    <x v="0"/>
  </r>
  <r>
    <s v="OR"/>
    <x v="75"/>
    <s v="area_code_408"/>
    <x v="0"/>
    <x v="1"/>
    <n v="0"/>
    <n v="240.8"/>
    <n v="105"/>
    <n v="40.94"/>
    <n v="192.8"/>
    <n v="93"/>
    <n v="16.39"/>
    <n v="253.4"/>
    <n v="69"/>
    <n v="11.4"/>
    <x v="98"/>
    <x v="0"/>
    <x v="98"/>
    <x v="4"/>
    <x v="0"/>
  </r>
  <r>
    <s v="TX"/>
    <x v="154"/>
    <s v="area_code_415"/>
    <x v="1"/>
    <x v="1"/>
    <n v="0"/>
    <n v="194.4"/>
    <n v="105"/>
    <n v="33.049999999999997"/>
    <n v="238.3"/>
    <n v="100"/>
    <n v="20.260000000000002"/>
    <n v="239.1"/>
    <n v="129"/>
    <n v="10.76"/>
    <x v="63"/>
    <x v="1"/>
    <x v="63"/>
    <x v="1"/>
    <x v="0"/>
  </r>
  <r>
    <s v="KY"/>
    <x v="131"/>
    <s v="area_code_415"/>
    <x v="0"/>
    <x v="1"/>
    <n v="0"/>
    <n v="130.19999999999999"/>
    <n v="94"/>
    <n v="22.13"/>
    <n v="195.2"/>
    <n v="126"/>
    <n v="16.59"/>
    <n v="195.5"/>
    <n v="68"/>
    <n v="8.8000000000000007"/>
    <x v="98"/>
    <x v="1"/>
    <x v="98"/>
    <x v="2"/>
    <x v="0"/>
  </r>
  <r>
    <s v="UT"/>
    <x v="98"/>
    <s v="area_code_408"/>
    <x v="1"/>
    <x v="0"/>
    <n v="52"/>
    <n v="123.7"/>
    <n v="114"/>
    <n v="21.03"/>
    <n v="133.19999999999999"/>
    <n v="137"/>
    <n v="11.32"/>
    <n v="191.8"/>
    <n v="102"/>
    <n v="8.6300000000000008"/>
    <x v="57"/>
    <x v="0"/>
    <x v="57"/>
    <x v="1"/>
    <x v="0"/>
  </r>
  <r>
    <s v="IL"/>
    <x v="97"/>
    <s v="area_code_510"/>
    <x v="0"/>
    <x v="0"/>
    <n v="32"/>
    <n v="206.1"/>
    <n v="134"/>
    <n v="35.04"/>
    <n v="179.6"/>
    <n v="84"/>
    <n v="15.27"/>
    <n v="332.2"/>
    <n v="90"/>
    <n v="14.95"/>
    <x v="39"/>
    <x v="5"/>
    <x v="39"/>
    <x v="3"/>
    <x v="0"/>
  </r>
  <r>
    <s v="AZ"/>
    <x v="20"/>
    <s v="area_code_415"/>
    <x v="0"/>
    <x v="0"/>
    <n v="25"/>
    <n v="182.4"/>
    <n v="92"/>
    <n v="31.01"/>
    <n v="214.7"/>
    <n v="104"/>
    <n v="18.25"/>
    <n v="174.4"/>
    <n v="110"/>
    <n v="7.85"/>
    <x v="3"/>
    <x v="5"/>
    <x v="3"/>
    <x v="0"/>
    <x v="0"/>
  </r>
  <r>
    <s v="VA"/>
    <x v="78"/>
    <s v="area_code_415"/>
    <x v="0"/>
    <x v="1"/>
    <n v="0"/>
    <n v="228.4"/>
    <n v="103"/>
    <n v="38.83"/>
    <n v="97.3"/>
    <n v="129"/>
    <n v="8.27"/>
    <n v="199.9"/>
    <n v="67"/>
    <n v="9"/>
    <x v="27"/>
    <x v="2"/>
    <x v="27"/>
    <x v="3"/>
    <x v="0"/>
  </r>
  <r>
    <s v="UT"/>
    <x v="20"/>
    <s v="area_code_415"/>
    <x v="0"/>
    <x v="1"/>
    <n v="0"/>
    <n v="202"/>
    <n v="100"/>
    <n v="34.340000000000003"/>
    <n v="168.9"/>
    <n v="90"/>
    <n v="14.36"/>
    <n v="231.8"/>
    <n v="119"/>
    <n v="10.43"/>
    <x v="150"/>
    <x v="4"/>
    <x v="150"/>
    <x v="0"/>
    <x v="0"/>
  </r>
  <r>
    <s v="CO"/>
    <x v="2"/>
    <s v="area_code_415"/>
    <x v="0"/>
    <x v="1"/>
    <n v="0"/>
    <n v="148.80000000000001"/>
    <n v="89"/>
    <n v="25.3"/>
    <n v="189.8"/>
    <n v="93"/>
    <n v="16.13"/>
    <n v="147.6"/>
    <n v="73"/>
    <n v="6.64"/>
    <x v="21"/>
    <x v="5"/>
    <x v="21"/>
    <x v="0"/>
    <x v="0"/>
  </r>
  <r>
    <s v="AL"/>
    <x v="123"/>
    <s v="area_code_415"/>
    <x v="1"/>
    <x v="1"/>
    <n v="0"/>
    <n v="191.3"/>
    <n v="120"/>
    <n v="32.520000000000003"/>
    <n v="167.3"/>
    <n v="88"/>
    <n v="14.22"/>
    <n v="162.9"/>
    <n v="110"/>
    <n v="7.33"/>
    <x v="39"/>
    <x v="5"/>
    <x v="39"/>
    <x v="2"/>
    <x v="1"/>
  </r>
  <r>
    <s v="TX"/>
    <x v="17"/>
    <s v="area_code_415"/>
    <x v="0"/>
    <x v="1"/>
    <n v="0"/>
    <n v="159.9"/>
    <n v="70"/>
    <n v="27.18"/>
    <n v="236.8"/>
    <n v="127"/>
    <n v="20.13"/>
    <n v="227.9"/>
    <n v="95"/>
    <n v="10.26"/>
    <x v="62"/>
    <x v="8"/>
    <x v="62"/>
    <x v="0"/>
    <x v="0"/>
  </r>
  <r>
    <s v="AZ"/>
    <x v="43"/>
    <s v="area_code_415"/>
    <x v="1"/>
    <x v="1"/>
    <n v="0"/>
    <n v="191.7"/>
    <n v="97"/>
    <n v="32.590000000000003"/>
    <n v="176.2"/>
    <n v="127"/>
    <n v="14.98"/>
    <n v="103.9"/>
    <n v="96"/>
    <n v="4.68"/>
    <x v="140"/>
    <x v="4"/>
    <x v="140"/>
    <x v="2"/>
    <x v="0"/>
  </r>
  <r>
    <s v="CT"/>
    <x v="12"/>
    <s v="area_code_510"/>
    <x v="0"/>
    <x v="1"/>
    <n v="0"/>
    <n v="151.19999999999999"/>
    <n v="89"/>
    <n v="25.7"/>
    <n v="228.4"/>
    <n v="117"/>
    <n v="19.41"/>
    <n v="169.3"/>
    <n v="107"/>
    <n v="7.62"/>
    <x v="38"/>
    <x v="5"/>
    <x v="38"/>
    <x v="2"/>
    <x v="0"/>
  </r>
  <r>
    <s v="AR"/>
    <x v="17"/>
    <s v="area_code_415"/>
    <x v="0"/>
    <x v="1"/>
    <n v="0"/>
    <n v="182.1"/>
    <n v="136"/>
    <n v="30.96"/>
    <n v="204.2"/>
    <n v="99"/>
    <n v="17.36"/>
    <n v="355.1"/>
    <n v="135"/>
    <n v="15.98"/>
    <x v="42"/>
    <x v="2"/>
    <x v="42"/>
    <x v="2"/>
    <x v="0"/>
  </r>
  <r>
    <s v="AR"/>
    <x v="171"/>
    <s v="area_code_510"/>
    <x v="0"/>
    <x v="1"/>
    <n v="0"/>
    <n v="155.1"/>
    <n v="110"/>
    <n v="26.37"/>
    <n v="160.80000000000001"/>
    <n v="109"/>
    <n v="13.67"/>
    <n v="237.4"/>
    <n v="115"/>
    <n v="10.68"/>
    <x v="61"/>
    <x v="5"/>
    <x v="61"/>
    <x v="3"/>
    <x v="0"/>
  </r>
  <r>
    <s v="CO"/>
    <x v="35"/>
    <s v="area_code_415"/>
    <x v="0"/>
    <x v="0"/>
    <n v="27"/>
    <n v="125.9"/>
    <n v="90"/>
    <n v="21.4"/>
    <n v="123.4"/>
    <n v="91"/>
    <n v="10.49"/>
    <n v="230"/>
    <n v="71"/>
    <n v="10.35"/>
    <x v="48"/>
    <x v="2"/>
    <x v="48"/>
    <x v="1"/>
    <x v="0"/>
  </r>
  <r>
    <s v="AZ"/>
    <x v="76"/>
    <s v="area_code_415"/>
    <x v="0"/>
    <x v="0"/>
    <n v="29"/>
    <n v="136.1"/>
    <n v="146"/>
    <n v="23.14"/>
    <n v="302.60000000000002"/>
    <n v="105"/>
    <n v="25.72"/>
    <n v="163.1"/>
    <n v="116"/>
    <n v="7.34"/>
    <x v="166"/>
    <x v="5"/>
    <x v="166"/>
    <x v="2"/>
    <x v="0"/>
  </r>
  <r>
    <s v="UT"/>
    <x v="30"/>
    <s v="area_code_415"/>
    <x v="0"/>
    <x v="0"/>
    <n v="33"/>
    <n v="284.3"/>
    <n v="115"/>
    <n v="48.33"/>
    <n v="204.8"/>
    <n v="125"/>
    <n v="17.41"/>
    <n v="143"/>
    <n v="83"/>
    <n v="6.44"/>
    <x v="30"/>
    <x v="4"/>
    <x v="30"/>
    <x v="1"/>
    <x v="0"/>
  </r>
  <r>
    <s v="MI"/>
    <x v="43"/>
    <s v="area_code_415"/>
    <x v="0"/>
    <x v="1"/>
    <n v="0"/>
    <n v="199.7"/>
    <n v="76"/>
    <n v="33.950000000000003"/>
    <n v="98.5"/>
    <n v="104"/>
    <n v="8.3699999999999992"/>
    <n v="220.1"/>
    <n v="108"/>
    <n v="9.9"/>
    <x v="0"/>
    <x v="3"/>
    <x v="0"/>
    <x v="0"/>
    <x v="0"/>
  </r>
  <r>
    <s v="SD"/>
    <x v="124"/>
    <s v="area_code_415"/>
    <x v="0"/>
    <x v="1"/>
    <n v="0"/>
    <n v="98.2"/>
    <n v="87"/>
    <n v="16.690000000000001"/>
    <n v="198.3"/>
    <n v="71"/>
    <n v="16.86"/>
    <n v="246"/>
    <n v="99"/>
    <n v="11.07"/>
    <x v="14"/>
    <x v="1"/>
    <x v="14"/>
    <x v="2"/>
    <x v="0"/>
  </r>
  <r>
    <s v="PA"/>
    <x v="112"/>
    <s v="area_code_415"/>
    <x v="0"/>
    <x v="0"/>
    <n v="23"/>
    <n v="247.6"/>
    <n v="65"/>
    <n v="42.09"/>
    <n v="255.7"/>
    <n v="104"/>
    <n v="21.73"/>
    <n v="150"/>
    <n v="138"/>
    <n v="6.75"/>
    <x v="48"/>
    <x v="1"/>
    <x v="48"/>
    <x v="3"/>
    <x v="0"/>
  </r>
  <r>
    <s v="MT"/>
    <x v="138"/>
    <s v="area_code_415"/>
    <x v="0"/>
    <x v="1"/>
    <n v="0"/>
    <n v="254.3"/>
    <n v="87"/>
    <n v="43.23"/>
    <n v="215.5"/>
    <n v="95"/>
    <n v="18.32"/>
    <n v="236.3"/>
    <n v="98"/>
    <n v="10.63"/>
    <x v="43"/>
    <x v="1"/>
    <x v="43"/>
    <x v="0"/>
    <x v="1"/>
  </r>
  <r>
    <s v="MN"/>
    <x v="26"/>
    <s v="area_code_415"/>
    <x v="0"/>
    <x v="1"/>
    <n v="0"/>
    <n v="241.3"/>
    <n v="113"/>
    <n v="41.02"/>
    <n v="146.6"/>
    <n v="97"/>
    <n v="12.46"/>
    <n v="129"/>
    <n v="131"/>
    <n v="5.81"/>
    <x v="23"/>
    <x v="3"/>
    <x v="23"/>
    <x v="3"/>
    <x v="0"/>
  </r>
  <r>
    <s v="MD"/>
    <x v="1"/>
    <s v="area_code_510"/>
    <x v="0"/>
    <x v="1"/>
    <n v="0"/>
    <n v="111.8"/>
    <n v="106"/>
    <n v="19.010000000000002"/>
    <n v="281.89999999999998"/>
    <n v="89"/>
    <n v="23.96"/>
    <n v="233"/>
    <n v="93"/>
    <n v="10.49"/>
    <x v="73"/>
    <x v="4"/>
    <x v="73"/>
    <x v="4"/>
    <x v="1"/>
  </r>
  <r>
    <s v="IN"/>
    <x v="2"/>
    <s v="area_code_408"/>
    <x v="0"/>
    <x v="1"/>
    <n v="0"/>
    <n v="163.69999999999999"/>
    <n v="123"/>
    <n v="27.83"/>
    <n v="175"/>
    <n v="93"/>
    <n v="14.88"/>
    <n v="194"/>
    <n v="115"/>
    <n v="8.73"/>
    <x v="40"/>
    <x v="1"/>
    <x v="40"/>
    <x v="0"/>
    <x v="0"/>
  </r>
  <r>
    <s v="KS"/>
    <x v="19"/>
    <s v="area_code_415"/>
    <x v="0"/>
    <x v="1"/>
    <n v="0"/>
    <n v="164"/>
    <n v="112"/>
    <n v="27.88"/>
    <n v="243.6"/>
    <n v="80"/>
    <n v="20.71"/>
    <n v="155.5"/>
    <n v="122"/>
    <n v="7"/>
    <x v="39"/>
    <x v="4"/>
    <x v="39"/>
    <x v="0"/>
    <x v="0"/>
  </r>
  <r>
    <s v="HI"/>
    <x v="82"/>
    <s v="area_code_415"/>
    <x v="0"/>
    <x v="1"/>
    <n v="0"/>
    <n v="195.2"/>
    <n v="101"/>
    <n v="33.18"/>
    <n v="188.7"/>
    <n v="38"/>
    <n v="16.04"/>
    <n v="270"/>
    <n v="91"/>
    <n v="12.15"/>
    <x v="37"/>
    <x v="0"/>
    <x v="37"/>
    <x v="1"/>
    <x v="0"/>
  </r>
  <r>
    <s v="MT"/>
    <x v="23"/>
    <s v="area_code_415"/>
    <x v="1"/>
    <x v="1"/>
    <n v="0"/>
    <n v="157.6"/>
    <n v="101"/>
    <n v="26.79"/>
    <n v="256.39999999999998"/>
    <n v="69"/>
    <n v="21.79"/>
    <n v="260.8"/>
    <n v="107"/>
    <n v="11.74"/>
    <x v="52"/>
    <x v="4"/>
    <x v="52"/>
    <x v="0"/>
    <x v="0"/>
  </r>
  <r>
    <s v="ID"/>
    <x v="47"/>
    <s v="area_code_415"/>
    <x v="0"/>
    <x v="1"/>
    <n v="0"/>
    <n v="253.6"/>
    <n v="110"/>
    <n v="43.11"/>
    <n v="253.3"/>
    <n v="92"/>
    <n v="21.53"/>
    <n v="161.30000000000001"/>
    <n v="103"/>
    <n v="7.26"/>
    <x v="39"/>
    <x v="0"/>
    <x v="39"/>
    <x v="3"/>
    <x v="1"/>
  </r>
  <r>
    <s v="VT"/>
    <x v="26"/>
    <s v="area_code_408"/>
    <x v="0"/>
    <x v="0"/>
    <n v="38"/>
    <n v="199"/>
    <n v="96"/>
    <n v="33.83"/>
    <n v="75.5"/>
    <n v="93"/>
    <n v="6.42"/>
    <n v="180.2"/>
    <n v="78"/>
    <n v="8.11"/>
    <x v="4"/>
    <x v="2"/>
    <x v="4"/>
    <x v="0"/>
    <x v="0"/>
  </r>
  <r>
    <s v="CA"/>
    <x v="8"/>
    <s v="area_code_408"/>
    <x v="0"/>
    <x v="1"/>
    <n v="0"/>
    <n v="182.5"/>
    <n v="58"/>
    <n v="31.03"/>
    <n v="201.9"/>
    <n v="93"/>
    <n v="17.16"/>
    <n v="189.1"/>
    <n v="97"/>
    <n v="8.51"/>
    <x v="53"/>
    <x v="1"/>
    <x v="53"/>
    <x v="0"/>
    <x v="0"/>
  </r>
  <r>
    <s v="MD"/>
    <x v="134"/>
    <s v="area_code_415"/>
    <x v="0"/>
    <x v="1"/>
    <n v="0"/>
    <n v="81.2"/>
    <n v="91"/>
    <n v="13.8"/>
    <n v="215.7"/>
    <n v="126"/>
    <n v="18.329999999999998"/>
    <n v="245.9"/>
    <n v="85"/>
    <n v="11.07"/>
    <x v="54"/>
    <x v="4"/>
    <x v="54"/>
    <x v="0"/>
    <x v="0"/>
  </r>
  <r>
    <s v="MD"/>
    <x v="14"/>
    <s v="area_code_415"/>
    <x v="0"/>
    <x v="1"/>
    <n v="0"/>
    <n v="179.1"/>
    <n v="110"/>
    <n v="30.45"/>
    <n v="157.19999999999999"/>
    <n v="81"/>
    <n v="13.36"/>
    <n v="240"/>
    <n v="109"/>
    <n v="10.8"/>
    <x v="94"/>
    <x v="0"/>
    <x v="94"/>
    <x v="1"/>
    <x v="0"/>
  </r>
  <r>
    <s v="NE"/>
    <x v="146"/>
    <s v="area_code_415"/>
    <x v="0"/>
    <x v="1"/>
    <n v="0"/>
    <n v="182.7"/>
    <n v="98"/>
    <n v="31.06"/>
    <n v="197.2"/>
    <n v="93"/>
    <n v="16.760000000000002"/>
    <n v="220.6"/>
    <n v="105"/>
    <n v="9.93"/>
    <x v="111"/>
    <x v="4"/>
    <x v="111"/>
    <x v="0"/>
    <x v="0"/>
  </r>
  <r>
    <s v="AL"/>
    <x v="28"/>
    <s v="area_code_408"/>
    <x v="0"/>
    <x v="1"/>
    <n v="0"/>
    <n v="207"/>
    <n v="94"/>
    <n v="35.19"/>
    <n v="256.3"/>
    <n v="64"/>
    <n v="21.79"/>
    <n v="137.6"/>
    <n v="60"/>
    <n v="6.19"/>
    <x v="91"/>
    <x v="4"/>
    <x v="91"/>
    <x v="2"/>
    <x v="0"/>
  </r>
  <r>
    <s v="WV"/>
    <x v="34"/>
    <s v="area_code_415"/>
    <x v="0"/>
    <x v="1"/>
    <n v="0"/>
    <n v="243.4"/>
    <n v="76"/>
    <n v="41.38"/>
    <n v="161.4"/>
    <n v="102"/>
    <n v="13.72"/>
    <n v="120.5"/>
    <n v="105"/>
    <n v="5.42"/>
    <x v="13"/>
    <x v="1"/>
    <x v="13"/>
    <x v="4"/>
    <x v="0"/>
  </r>
  <r>
    <s v="NM"/>
    <x v="117"/>
    <s v="area_code_415"/>
    <x v="0"/>
    <x v="1"/>
    <n v="0"/>
    <n v="157.4"/>
    <n v="89"/>
    <n v="26.76"/>
    <n v="196"/>
    <n v="117"/>
    <n v="16.66"/>
    <n v="147.69999999999999"/>
    <n v="150"/>
    <n v="6.65"/>
    <x v="81"/>
    <x v="4"/>
    <x v="81"/>
    <x v="1"/>
    <x v="0"/>
  </r>
  <r>
    <s v="IN"/>
    <x v="2"/>
    <s v="area_code_510"/>
    <x v="0"/>
    <x v="1"/>
    <n v="0"/>
    <n v="233.9"/>
    <n v="76"/>
    <n v="39.76"/>
    <n v="153.19999999999999"/>
    <n v="96"/>
    <n v="13.02"/>
    <n v="228"/>
    <n v="82"/>
    <n v="10.26"/>
    <x v="75"/>
    <x v="1"/>
    <x v="75"/>
    <x v="3"/>
    <x v="0"/>
  </r>
  <r>
    <s v="NE"/>
    <x v="174"/>
    <s v="area_code_408"/>
    <x v="0"/>
    <x v="1"/>
    <n v="0"/>
    <n v="195.4"/>
    <n v="71"/>
    <n v="33.22"/>
    <n v="249.4"/>
    <n v="96"/>
    <n v="21.2"/>
    <n v="233.1"/>
    <n v="132"/>
    <n v="10.49"/>
    <x v="89"/>
    <x v="5"/>
    <x v="89"/>
    <x v="3"/>
    <x v="0"/>
  </r>
  <r>
    <s v="OK"/>
    <x v="199"/>
    <s v="area_code_408"/>
    <x v="0"/>
    <x v="1"/>
    <n v="0"/>
    <n v="180.4"/>
    <n v="121"/>
    <n v="30.67"/>
    <n v="228.5"/>
    <n v="111"/>
    <n v="19.420000000000002"/>
    <n v="199.5"/>
    <n v="99"/>
    <n v="8.98"/>
    <x v="102"/>
    <x v="1"/>
    <x v="102"/>
    <x v="1"/>
    <x v="0"/>
  </r>
  <r>
    <s v="SC"/>
    <x v="41"/>
    <s v="area_code_408"/>
    <x v="0"/>
    <x v="1"/>
    <n v="0"/>
    <n v="143.6"/>
    <n v="119"/>
    <n v="24.41"/>
    <n v="238.5"/>
    <n v="119"/>
    <n v="20.27"/>
    <n v="173.6"/>
    <n v="89"/>
    <n v="7.81"/>
    <x v="54"/>
    <x v="4"/>
    <x v="54"/>
    <x v="2"/>
    <x v="0"/>
  </r>
  <r>
    <s v="CO"/>
    <x v="72"/>
    <s v="area_code_510"/>
    <x v="0"/>
    <x v="1"/>
    <n v="0"/>
    <n v="88.1"/>
    <n v="60"/>
    <n v="14.98"/>
    <n v="129.69999999999999"/>
    <n v="108"/>
    <n v="11.02"/>
    <n v="169"/>
    <n v="87"/>
    <n v="7.61"/>
    <x v="64"/>
    <x v="4"/>
    <x v="64"/>
    <x v="2"/>
    <x v="0"/>
  </r>
  <r>
    <s v="SC"/>
    <x v="78"/>
    <s v="area_code_415"/>
    <x v="0"/>
    <x v="0"/>
    <n v="30"/>
    <n v="254.1"/>
    <n v="75"/>
    <n v="43.2"/>
    <n v="200.4"/>
    <n v="116"/>
    <n v="17.03"/>
    <n v="185.9"/>
    <n v="109"/>
    <n v="8.3699999999999992"/>
    <x v="2"/>
    <x v="5"/>
    <x v="2"/>
    <x v="2"/>
    <x v="0"/>
  </r>
  <r>
    <s v="NM"/>
    <x v="22"/>
    <s v="area_code_408"/>
    <x v="0"/>
    <x v="1"/>
    <n v="0"/>
    <n v="131.5"/>
    <n v="64"/>
    <n v="22.36"/>
    <n v="161.80000000000001"/>
    <n v="124"/>
    <n v="13.75"/>
    <n v="158.6"/>
    <n v="106"/>
    <n v="7.14"/>
    <x v="102"/>
    <x v="1"/>
    <x v="102"/>
    <x v="1"/>
    <x v="0"/>
  </r>
  <r>
    <s v="NJ"/>
    <x v="85"/>
    <s v="area_code_510"/>
    <x v="0"/>
    <x v="1"/>
    <n v="0"/>
    <n v="156.80000000000001"/>
    <n v="104"/>
    <n v="26.66"/>
    <n v="264.7"/>
    <n v="84"/>
    <n v="22.5"/>
    <n v="249"/>
    <n v="112"/>
    <n v="11.21"/>
    <x v="33"/>
    <x v="10"/>
    <x v="33"/>
    <x v="1"/>
    <x v="0"/>
  </r>
  <r>
    <s v="TN"/>
    <x v="83"/>
    <s v="area_code_510"/>
    <x v="0"/>
    <x v="1"/>
    <n v="0"/>
    <n v="196.9"/>
    <n v="58"/>
    <n v="33.47"/>
    <n v="137.1"/>
    <n v="91"/>
    <n v="11.65"/>
    <n v="216.6"/>
    <n v="101"/>
    <n v="9.75"/>
    <x v="52"/>
    <x v="0"/>
    <x v="52"/>
    <x v="0"/>
    <x v="0"/>
  </r>
  <r>
    <s v="ID"/>
    <x v="39"/>
    <s v="area_code_415"/>
    <x v="0"/>
    <x v="1"/>
    <n v="0"/>
    <n v="178"/>
    <n v="140"/>
    <n v="30.26"/>
    <n v="294.60000000000002"/>
    <n v="125"/>
    <n v="25.04"/>
    <n v="242.2"/>
    <n v="91"/>
    <n v="10.9"/>
    <x v="42"/>
    <x v="3"/>
    <x v="42"/>
    <x v="2"/>
    <x v="0"/>
  </r>
  <r>
    <s v="ID"/>
    <x v="116"/>
    <s v="area_code_510"/>
    <x v="0"/>
    <x v="1"/>
    <n v="0"/>
    <n v="195.8"/>
    <n v="105"/>
    <n v="33.29"/>
    <n v="184.5"/>
    <n v="109"/>
    <n v="15.68"/>
    <n v="172"/>
    <n v="128"/>
    <n v="7.74"/>
    <x v="23"/>
    <x v="5"/>
    <x v="23"/>
    <x v="2"/>
    <x v="0"/>
  </r>
  <r>
    <s v="OH"/>
    <x v="112"/>
    <s v="area_code_408"/>
    <x v="0"/>
    <x v="0"/>
    <n v="26"/>
    <n v="141.30000000000001"/>
    <n v="120"/>
    <n v="24.02"/>
    <n v="134.6"/>
    <n v="98"/>
    <n v="11.44"/>
    <n v="195.9"/>
    <n v="94"/>
    <n v="8.82"/>
    <x v="64"/>
    <x v="1"/>
    <x v="64"/>
    <x v="0"/>
    <x v="0"/>
  </r>
  <r>
    <s v="AL"/>
    <x v="171"/>
    <s v="area_code_415"/>
    <x v="0"/>
    <x v="0"/>
    <n v="21"/>
    <n v="125.5"/>
    <n v="67"/>
    <n v="21.34"/>
    <n v="166.7"/>
    <n v="90"/>
    <n v="14.17"/>
    <n v="227.1"/>
    <n v="97"/>
    <n v="10.220000000000001"/>
    <x v="34"/>
    <x v="8"/>
    <x v="34"/>
    <x v="2"/>
    <x v="0"/>
  </r>
  <r>
    <s v="ME"/>
    <x v="119"/>
    <s v="area_code_510"/>
    <x v="0"/>
    <x v="1"/>
    <n v="0"/>
    <n v="200.5"/>
    <n v="117"/>
    <n v="34.090000000000003"/>
    <n v="225.3"/>
    <n v="123"/>
    <n v="19.149999999999999"/>
    <n v="134"/>
    <n v="89"/>
    <n v="6.03"/>
    <x v="92"/>
    <x v="1"/>
    <x v="92"/>
    <x v="4"/>
    <x v="0"/>
  </r>
  <r>
    <s v="IL"/>
    <x v="169"/>
    <s v="area_code_408"/>
    <x v="0"/>
    <x v="1"/>
    <n v="0"/>
    <n v="205.5"/>
    <n v="87"/>
    <n v="34.94"/>
    <n v="208.9"/>
    <n v="67"/>
    <n v="17.760000000000002"/>
    <n v="182.3"/>
    <n v="69"/>
    <n v="8.1999999999999993"/>
    <x v="133"/>
    <x v="0"/>
    <x v="133"/>
    <x v="2"/>
    <x v="0"/>
  </r>
  <r>
    <s v="CA"/>
    <x v="44"/>
    <s v="area_code_415"/>
    <x v="0"/>
    <x v="1"/>
    <n v="0"/>
    <n v="152.1"/>
    <n v="116"/>
    <n v="25.86"/>
    <n v="164.3"/>
    <n v="83"/>
    <n v="13.97"/>
    <n v="142.80000000000001"/>
    <n v="98"/>
    <n v="6.43"/>
    <x v="98"/>
    <x v="0"/>
    <x v="98"/>
    <x v="1"/>
    <x v="0"/>
  </r>
  <r>
    <s v="AL"/>
    <x v="64"/>
    <s v="area_code_415"/>
    <x v="0"/>
    <x v="1"/>
    <n v="0"/>
    <n v="216.5"/>
    <n v="113"/>
    <n v="36.81"/>
    <n v="251.8"/>
    <n v="91"/>
    <n v="21.4"/>
    <n v="164.5"/>
    <n v="125"/>
    <n v="7.4"/>
    <x v="48"/>
    <x v="8"/>
    <x v="48"/>
    <x v="3"/>
    <x v="0"/>
  </r>
  <r>
    <s v="MI"/>
    <x v="86"/>
    <s v="area_code_408"/>
    <x v="0"/>
    <x v="1"/>
    <n v="0"/>
    <n v="119.3"/>
    <n v="94"/>
    <n v="20.28"/>
    <n v="224"/>
    <n v="81"/>
    <n v="19.04"/>
    <n v="156.69999999999999"/>
    <n v="78"/>
    <n v="7.05"/>
    <x v="47"/>
    <x v="3"/>
    <x v="47"/>
    <x v="5"/>
    <x v="1"/>
  </r>
  <r>
    <s v="MT"/>
    <x v="2"/>
    <s v="area_code_415"/>
    <x v="0"/>
    <x v="0"/>
    <n v="25"/>
    <n v="113.9"/>
    <n v="90"/>
    <n v="19.36"/>
    <n v="257"/>
    <n v="99"/>
    <n v="21.85"/>
    <n v="214.5"/>
    <n v="98"/>
    <n v="9.65"/>
    <x v="89"/>
    <x v="10"/>
    <x v="89"/>
    <x v="4"/>
    <x v="1"/>
  </r>
  <r>
    <s v="NJ"/>
    <x v="128"/>
    <s v="area_code_510"/>
    <x v="0"/>
    <x v="1"/>
    <n v="0"/>
    <n v="228.6"/>
    <n v="130"/>
    <n v="38.86"/>
    <n v="208.4"/>
    <n v="103"/>
    <n v="17.71"/>
    <n v="195.3"/>
    <n v="118"/>
    <n v="8.7899999999999991"/>
    <x v="78"/>
    <x v="2"/>
    <x v="78"/>
    <x v="1"/>
    <x v="0"/>
  </r>
  <r>
    <s v="IN"/>
    <x v="62"/>
    <s v="area_code_415"/>
    <x v="0"/>
    <x v="1"/>
    <n v="0"/>
    <n v="106.5"/>
    <n v="116"/>
    <n v="18.11"/>
    <n v="104.8"/>
    <n v="67"/>
    <n v="8.91"/>
    <n v="183.2"/>
    <n v="124"/>
    <n v="8.24"/>
    <x v="45"/>
    <x v="1"/>
    <x v="45"/>
    <x v="0"/>
    <x v="0"/>
  </r>
  <r>
    <s v="KY"/>
    <x v="26"/>
    <s v="area_code_415"/>
    <x v="0"/>
    <x v="1"/>
    <n v="0"/>
    <n v="254.1"/>
    <n v="112"/>
    <n v="43.2"/>
    <n v="215.9"/>
    <n v="80"/>
    <n v="18.350000000000001"/>
    <n v="267.10000000000002"/>
    <n v="124"/>
    <n v="12.02"/>
    <x v="122"/>
    <x v="0"/>
    <x v="122"/>
    <x v="1"/>
    <x v="1"/>
  </r>
  <r>
    <s v="NY"/>
    <x v="147"/>
    <s v="area_code_408"/>
    <x v="0"/>
    <x v="0"/>
    <n v="48"/>
    <n v="134"/>
    <n v="83"/>
    <n v="22.78"/>
    <n v="234.3"/>
    <n v="128"/>
    <n v="19.920000000000002"/>
    <n v="197.3"/>
    <n v="107"/>
    <n v="8.8800000000000008"/>
    <x v="35"/>
    <x v="4"/>
    <x v="35"/>
    <x v="8"/>
    <x v="1"/>
  </r>
  <r>
    <s v="DE"/>
    <x v="9"/>
    <s v="area_code_415"/>
    <x v="0"/>
    <x v="0"/>
    <n v="38"/>
    <n v="176"/>
    <n v="84"/>
    <n v="29.92"/>
    <n v="288.2"/>
    <n v="103"/>
    <n v="24.5"/>
    <n v="178.2"/>
    <n v="86"/>
    <n v="8.02"/>
    <x v="102"/>
    <x v="1"/>
    <x v="102"/>
    <x v="2"/>
    <x v="0"/>
  </r>
  <r>
    <s v="NJ"/>
    <x v="29"/>
    <s v="area_code_510"/>
    <x v="0"/>
    <x v="1"/>
    <n v="0"/>
    <n v="180.1"/>
    <n v="112"/>
    <n v="30.62"/>
    <n v="257.2"/>
    <n v="89"/>
    <n v="21.86"/>
    <n v="131.6"/>
    <n v="111"/>
    <n v="5.92"/>
    <x v="37"/>
    <x v="2"/>
    <x v="37"/>
    <x v="0"/>
    <x v="0"/>
  </r>
  <r>
    <s v="ND"/>
    <x v="132"/>
    <s v="area_code_415"/>
    <x v="0"/>
    <x v="1"/>
    <n v="0"/>
    <n v="180.1"/>
    <n v="77"/>
    <n v="30.62"/>
    <n v="235.5"/>
    <n v="98"/>
    <n v="20.02"/>
    <n v="169.4"/>
    <n v="104"/>
    <n v="7.62"/>
    <x v="22"/>
    <x v="5"/>
    <x v="22"/>
    <x v="1"/>
    <x v="0"/>
  </r>
  <r>
    <s v="SD"/>
    <x v="96"/>
    <s v="area_code_415"/>
    <x v="0"/>
    <x v="1"/>
    <n v="0"/>
    <n v="94.8"/>
    <n v="113"/>
    <n v="16.12"/>
    <n v="283.2"/>
    <n v="95"/>
    <n v="24.07"/>
    <n v="219.3"/>
    <n v="106"/>
    <n v="9.8699999999999992"/>
    <x v="36"/>
    <x v="4"/>
    <x v="36"/>
    <x v="0"/>
    <x v="0"/>
  </r>
  <r>
    <s v="VA"/>
    <x v="30"/>
    <s v="area_code_415"/>
    <x v="0"/>
    <x v="1"/>
    <n v="0"/>
    <n v="210.4"/>
    <n v="75"/>
    <n v="35.770000000000003"/>
    <n v="205.1"/>
    <n v="108"/>
    <n v="17.43"/>
    <n v="230.5"/>
    <n v="129"/>
    <n v="10.37"/>
    <x v="60"/>
    <x v="5"/>
    <x v="60"/>
    <x v="0"/>
    <x v="0"/>
  </r>
  <r>
    <s v="VA"/>
    <x v="108"/>
    <s v="area_code_415"/>
    <x v="0"/>
    <x v="1"/>
    <n v="0"/>
    <n v="174.2"/>
    <n v="93"/>
    <n v="29.61"/>
    <n v="235"/>
    <n v="101"/>
    <n v="19.98"/>
    <n v="264.2"/>
    <n v="83"/>
    <n v="11.89"/>
    <x v="79"/>
    <x v="2"/>
    <x v="79"/>
    <x v="0"/>
    <x v="0"/>
  </r>
  <r>
    <s v="ID"/>
    <x v="76"/>
    <s v="area_code_408"/>
    <x v="0"/>
    <x v="1"/>
    <n v="0"/>
    <n v="189.7"/>
    <n v="110"/>
    <n v="32.25"/>
    <n v="142.4"/>
    <n v="116"/>
    <n v="12.1"/>
    <n v="175.2"/>
    <n v="79"/>
    <n v="7.88"/>
    <x v="31"/>
    <x v="10"/>
    <x v="31"/>
    <x v="2"/>
    <x v="0"/>
  </r>
  <r>
    <s v="ID"/>
    <x v="8"/>
    <s v="area_code_408"/>
    <x v="0"/>
    <x v="0"/>
    <n v="19"/>
    <n v="259"/>
    <n v="96"/>
    <n v="44.03"/>
    <n v="332.3"/>
    <n v="106"/>
    <n v="28.25"/>
    <n v="130.1"/>
    <n v="95"/>
    <n v="5.85"/>
    <x v="4"/>
    <x v="2"/>
    <x v="4"/>
    <x v="0"/>
    <x v="0"/>
  </r>
  <r>
    <s v="MO"/>
    <x v="143"/>
    <s v="area_code_415"/>
    <x v="0"/>
    <x v="0"/>
    <n v="39"/>
    <n v="86.4"/>
    <n v="69"/>
    <n v="14.69"/>
    <n v="189.1"/>
    <n v="108"/>
    <n v="16.07"/>
    <n v="225.4"/>
    <n v="119"/>
    <n v="10.14"/>
    <x v="104"/>
    <x v="4"/>
    <x v="104"/>
    <x v="2"/>
    <x v="0"/>
  </r>
  <r>
    <s v="NY"/>
    <x v="28"/>
    <s v="area_code_408"/>
    <x v="0"/>
    <x v="1"/>
    <n v="0"/>
    <n v="136.9"/>
    <n v="120"/>
    <n v="23.27"/>
    <n v="180.6"/>
    <n v="84"/>
    <n v="15.35"/>
    <n v="172.9"/>
    <n v="94"/>
    <n v="7.78"/>
    <x v="78"/>
    <x v="4"/>
    <x v="78"/>
    <x v="4"/>
    <x v="1"/>
  </r>
  <r>
    <s v="UT"/>
    <x v="7"/>
    <s v="area_code_510"/>
    <x v="0"/>
    <x v="1"/>
    <n v="0"/>
    <n v="196.5"/>
    <n v="104"/>
    <n v="33.409999999999997"/>
    <n v="175.1"/>
    <n v="111"/>
    <n v="14.88"/>
    <n v="209.6"/>
    <n v="110"/>
    <n v="9.43"/>
    <x v="71"/>
    <x v="4"/>
    <x v="71"/>
    <x v="8"/>
    <x v="0"/>
  </r>
  <r>
    <s v="MN"/>
    <x v="27"/>
    <s v="area_code_415"/>
    <x v="0"/>
    <x v="1"/>
    <n v="0"/>
    <n v="221.4"/>
    <n v="120"/>
    <n v="37.64"/>
    <n v="249.5"/>
    <n v="78"/>
    <n v="21.21"/>
    <n v="192"/>
    <n v="68"/>
    <n v="8.64"/>
    <x v="109"/>
    <x v="5"/>
    <x v="109"/>
    <x v="1"/>
    <x v="0"/>
  </r>
  <r>
    <s v="RI"/>
    <x v="171"/>
    <s v="area_code_408"/>
    <x v="0"/>
    <x v="1"/>
    <n v="0"/>
    <n v="191.9"/>
    <n v="139"/>
    <n v="32.619999999999997"/>
    <n v="304.2"/>
    <n v="91"/>
    <n v="25.86"/>
    <n v="179.5"/>
    <n v="91"/>
    <n v="8.08"/>
    <x v="50"/>
    <x v="4"/>
    <x v="50"/>
    <x v="1"/>
    <x v="0"/>
  </r>
  <r>
    <s v="MS"/>
    <x v="52"/>
    <s v="area_code_415"/>
    <x v="1"/>
    <x v="1"/>
    <n v="0"/>
    <n v="172.1"/>
    <n v="138"/>
    <n v="29.26"/>
    <n v="165.9"/>
    <n v="93"/>
    <n v="14.1"/>
    <n v="279"/>
    <n v="81"/>
    <n v="12.56"/>
    <x v="29"/>
    <x v="3"/>
    <x v="29"/>
    <x v="2"/>
    <x v="0"/>
  </r>
  <r>
    <s v="NC"/>
    <x v="23"/>
    <s v="area_code_415"/>
    <x v="0"/>
    <x v="1"/>
    <n v="0"/>
    <n v="189.9"/>
    <n v="104"/>
    <n v="32.28"/>
    <n v="247.4"/>
    <n v="120"/>
    <n v="21.03"/>
    <n v="159.80000000000001"/>
    <n v="113"/>
    <n v="7.19"/>
    <x v="3"/>
    <x v="3"/>
    <x v="3"/>
    <x v="0"/>
    <x v="0"/>
  </r>
  <r>
    <s v="VA"/>
    <x v="78"/>
    <s v="area_code_408"/>
    <x v="0"/>
    <x v="1"/>
    <n v="0"/>
    <n v="147.80000000000001"/>
    <n v="71"/>
    <n v="25.13"/>
    <n v="182.6"/>
    <n v="103"/>
    <n v="15.52"/>
    <n v="260.8"/>
    <n v="95"/>
    <n v="11.74"/>
    <x v="72"/>
    <x v="0"/>
    <x v="72"/>
    <x v="0"/>
    <x v="0"/>
  </r>
  <r>
    <s v="VA"/>
    <x v="147"/>
    <s v="area_code_510"/>
    <x v="0"/>
    <x v="1"/>
    <n v="0"/>
    <n v="62.5"/>
    <n v="68"/>
    <n v="10.63"/>
    <n v="222.2"/>
    <n v="114"/>
    <n v="18.89"/>
    <n v="142.4"/>
    <n v="96"/>
    <n v="6.41"/>
    <x v="60"/>
    <x v="1"/>
    <x v="60"/>
    <x v="0"/>
    <x v="0"/>
  </r>
  <r>
    <s v="TN"/>
    <x v="212"/>
    <s v="area_code_415"/>
    <x v="0"/>
    <x v="1"/>
    <n v="0"/>
    <n v="256.60000000000002"/>
    <n v="119"/>
    <n v="43.62"/>
    <n v="230.8"/>
    <n v="98"/>
    <n v="19.62"/>
    <n v="236"/>
    <n v="97"/>
    <n v="10.62"/>
    <x v="1"/>
    <x v="1"/>
    <x v="1"/>
    <x v="0"/>
    <x v="1"/>
  </r>
  <r>
    <s v="OR"/>
    <x v="108"/>
    <s v="area_code_415"/>
    <x v="0"/>
    <x v="0"/>
    <n v="20"/>
    <n v="123.7"/>
    <n v="98"/>
    <n v="21.03"/>
    <n v="200.8"/>
    <n v="125"/>
    <n v="17.07"/>
    <n v="181"/>
    <n v="118"/>
    <n v="8.15"/>
    <x v="63"/>
    <x v="1"/>
    <x v="63"/>
    <x v="0"/>
    <x v="0"/>
  </r>
  <r>
    <s v="NE"/>
    <x v="112"/>
    <s v="area_code_408"/>
    <x v="0"/>
    <x v="1"/>
    <n v="0"/>
    <n v="113.1"/>
    <n v="77"/>
    <n v="19.23"/>
    <n v="294.39999999999998"/>
    <n v="126"/>
    <n v="25.02"/>
    <n v="101.4"/>
    <n v="94"/>
    <n v="4.5599999999999996"/>
    <x v="83"/>
    <x v="0"/>
    <x v="83"/>
    <x v="0"/>
    <x v="0"/>
  </r>
  <r>
    <s v="DE"/>
    <x v="60"/>
    <s v="area_code_415"/>
    <x v="0"/>
    <x v="0"/>
    <n v="38"/>
    <n v="220"/>
    <n v="102"/>
    <n v="37.4"/>
    <n v="180.3"/>
    <n v="119"/>
    <n v="15.33"/>
    <n v="136.19999999999999"/>
    <n v="90"/>
    <n v="6.13"/>
    <x v="19"/>
    <x v="5"/>
    <x v="19"/>
    <x v="0"/>
    <x v="0"/>
  </r>
  <r>
    <s v="DC"/>
    <x v="96"/>
    <s v="area_code_415"/>
    <x v="0"/>
    <x v="1"/>
    <n v="0"/>
    <n v="147.69999999999999"/>
    <n v="105"/>
    <n v="25.11"/>
    <n v="215"/>
    <n v="129"/>
    <n v="18.28"/>
    <n v="267.2"/>
    <n v="95"/>
    <n v="12.02"/>
    <x v="34"/>
    <x v="0"/>
    <x v="34"/>
    <x v="0"/>
    <x v="0"/>
  </r>
  <r>
    <s v="AL"/>
    <x v="75"/>
    <s v="area_code_415"/>
    <x v="0"/>
    <x v="1"/>
    <n v="0"/>
    <n v="271.89999999999998"/>
    <n v="106"/>
    <n v="46.22"/>
    <n v="231.9"/>
    <n v="116"/>
    <n v="19.71"/>
    <n v="247"/>
    <n v="110"/>
    <n v="11.12"/>
    <x v="38"/>
    <x v="0"/>
    <x v="38"/>
    <x v="0"/>
    <x v="1"/>
  </r>
  <r>
    <s v="ND"/>
    <x v="86"/>
    <s v="area_code_510"/>
    <x v="0"/>
    <x v="1"/>
    <n v="0"/>
    <n v="196.2"/>
    <n v="107"/>
    <n v="33.35"/>
    <n v="103.9"/>
    <n v="104"/>
    <n v="8.83"/>
    <n v="203.8"/>
    <n v="88"/>
    <n v="9.17"/>
    <x v="32"/>
    <x v="4"/>
    <x v="32"/>
    <x v="0"/>
    <x v="0"/>
  </r>
  <r>
    <s v="MD"/>
    <x v="152"/>
    <s v="area_code_415"/>
    <x v="0"/>
    <x v="1"/>
    <n v="0"/>
    <n v="111.3"/>
    <n v="92"/>
    <n v="18.920000000000002"/>
    <n v="109.4"/>
    <n v="108"/>
    <n v="9.3000000000000007"/>
    <n v="116.9"/>
    <n v="80"/>
    <n v="5.26"/>
    <x v="81"/>
    <x v="10"/>
    <x v="81"/>
    <x v="0"/>
    <x v="0"/>
  </r>
  <r>
    <s v="LA"/>
    <x v="97"/>
    <s v="area_code_415"/>
    <x v="0"/>
    <x v="1"/>
    <n v="0"/>
    <n v="176.7"/>
    <n v="129"/>
    <n v="30.04"/>
    <n v="218.9"/>
    <n v="125"/>
    <n v="18.61"/>
    <n v="183.9"/>
    <n v="51"/>
    <n v="8.2799999999999994"/>
    <x v="9"/>
    <x v="4"/>
    <x v="9"/>
    <x v="1"/>
    <x v="0"/>
  </r>
  <r>
    <s v="OK"/>
    <x v="43"/>
    <s v="area_code_408"/>
    <x v="0"/>
    <x v="1"/>
    <n v="0"/>
    <n v="211.3"/>
    <n v="91"/>
    <n v="35.92"/>
    <n v="190.9"/>
    <n v="116"/>
    <n v="16.23"/>
    <n v="184.1"/>
    <n v="134"/>
    <n v="8.2799999999999994"/>
    <x v="21"/>
    <x v="4"/>
    <x v="21"/>
    <x v="2"/>
    <x v="0"/>
  </r>
  <r>
    <s v="ID"/>
    <x v="79"/>
    <s v="area_code_415"/>
    <x v="0"/>
    <x v="1"/>
    <n v="0"/>
    <n v="219"/>
    <n v="98"/>
    <n v="37.229999999999997"/>
    <n v="176.1"/>
    <n v="109"/>
    <n v="14.97"/>
    <n v="166.3"/>
    <n v="132"/>
    <n v="7.48"/>
    <x v="36"/>
    <x v="0"/>
    <x v="36"/>
    <x v="2"/>
    <x v="0"/>
  </r>
  <r>
    <s v="PA"/>
    <x v="187"/>
    <s v="area_code_415"/>
    <x v="0"/>
    <x v="1"/>
    <n v="0"/>
    <n v="174.1"/>
    <n v="94"/>
    <n v="29.6"/>
    <n v="147.1"/>
    <n v="93"/>
    <n v="12.5"/>
    <n v="216.9"/>
    <n v="108"/>
    <n v="9.76"/>
    <x v="76"/>
    <x v="0"/>
    <x v="76"/>
    <x v="0"/>
    <x v="0"/>
  </r>
  <r>
    <s v="NE"/>
    <x v="93"/>
    <s v="area_code_415"/>
    <x v="0"/>
    <x v="1"/>
    <n v="0"/>
    <n v="124"/>
    <n v="77"/>
    <n v="21.08"/>
    <n v="222.2"/>
    <n v="95"/>
    <n v="18.89"/>
    <n v="151.19999999999999"/>
    <n v="111"/>
    <n v="6.8"/>
    <x v="67"/>
    <x v="5"/>
    <x v="67"/>
    <x v="1"/>
    <x v="0"/>
  </r>
  <r>
    <s v="TX"/>
    <x v="45"/>
    <s v="area_code_415"/>
    <x v="0"/>
    <x v="0"/>
    <n v="38"/>
    <n v="175.6"/>
    <n v="127"/>
    <n v="29.85"/>
    <n v="260.5"/>
    <n v="118"/>
    <n v="22.14"/>
    <n v="199.5"/>
    <n v="109"/>
    <n v="8.98"/>
    <x v="10"/>
    <x v="5"/>
    <x v="10"/>
    <x v="2"/>
    <x v="0"/>
  </r>
  <r>
    <s v="LA"/>
    <x v="180"/>
    <s v="area_code_408"/>
    <x v="0"/>
    <x v="0"/>
    <n v="32"/>
    <n v="111.7"/>
    <n v="116"/>
    <n v="18.989999999999998"/>
    <n v="133.9"/>
    <n v="93"/>
    <n v="11.38"/>
    <n v="176.5"/>
    <n v="76"/>
    <n v="7.94"/>
    <x v="40"/>
    <x v="1"/>
    <x v="40"/>
    <x v="0"/>
    <x v="0"/>
  </r>
  <r>
    <s v="WI"/>
    <x v="115"/>
    <s v="area_code_415"/>
    <x v="0"/>
    <x v="1"/>
    <n v="0"/>
    <n v="37.4"/>
    <n v="102"/>
    <n v="6.36"/>
    <n v="182.3"/>
    <n v="115"/>
    <n v="15.5"/>
    <n v="191.9"/>
    <n v="100"/>
    <n v="8.64"/>
    <x v="24"/>
    <x v="1"/>
    <x v="24"/>
    <x v="2"/>
    <x v="0"/>
  </r>
  <r>
    <s v="AR"/>
    <x v="9"/>
    <s v="area_code_415"/>
    <x v="0"/>
    <x v="1"/>
    <n v="0"/>
    <n v="201.4"/>
    <n v="112"/>
    <n v="34.24"/>
    <n v="109.6"/>
    <n v="71"/>
    <n v="9.32"/>
    <n v="200.2"/>
    <n v="135"/>
    <n v="9.01"/>
    <x v="85"/>
    <x v="5"/>
    <x v="85"/>
    <x v="0"/>
    <x v="0"/>
  </r>
  <r>
    <s v="GA"/>
    <x v="149"/>
    <s v="area_code_415"/>
    <x v="0"/>
    <x v="1"/>
    <n v="0"/>
    <n v="156"/>
    <n v="88"/>
    <n v="26.52"/>
    <n v="213.8"/>
    <n v="127"/>
    <n v="18.170000000000002"/>
    <n v="244.9"/>
    <n v="113"/>
    <n v="11.02"/>
    <x v="37"/>
    <x v="6"/>
    <x v="37"/>
    <x v="0"/>
    <x v="0"/>
  </r>
  <r>
    <s v="NY"/>
    <x v="67"/>
    <s v="area_code_408"/>
    <x v="0"/>
    <x v="1"/>
    <n v="0"/>
    <n v="162.9"/>
    <n v="103"/>
    <n v="27.69"/>
    <n v="243.6"/>
    <n v="97"/>
    <n v="20.71"/>
    <n v="172.4"/>
    <n v="111"/>
    <n v="7.76"/>
    <x v="99"/>
    <x v="1"/>
    <x v="99"/>
    <x v="4"/>
    <x v="0"/>
  </r>
  <r>
    <s v="MT"/>
    <x v="32"/>
    <s v="area_code_415"/>
    <x v="0"/>
    <x v="0"/>
    <n v="18"/>
    <n v="211.4"/>
    <n v="111"/>
    <n v="35.94"/>
    <n v="150.80000000000001"/>
    <n v="67"/>
    <n v="12.82"/>
    <n v="216.5"/>
    <n v="87"/>
    <n v="9.74"/>
    <x v="26"/>
    <x v="5"/>
    <x v="26"/>
    <x v="2"/>
    <x v="0"/>
  </r>
  <r>
    <s v="LA"/>
    <x v="65"/>
    <s v="area_code_415"/>
    <x v="0"/>
    <x v="1"/>
    <n v="0"/>
    <n v="157.30000000000001"/>
    <n v="83"/>
    <n v="26.74"/>
    <n v="162.80000000000001"/>
    <n v="75"/>
    <n v="13.84"/>
    <n v="112"/>
    <n v="101"/>
    <n v="5.04"/>
    <x v="84"/>
    <x v="4"/>
    <x v="84"/>
    <x v="0"/>
    <x v="0"/>
  </r>
  <r>
    <s v="AK"/>
    <x v="126"/>
    <s v="area_code_510"/>
    <x v="0"/>
    <x v="1"/>
    <n v="0"/>
    <n v="172.7"/>
    <n v="112"/>
    <n v="29.36"/>
    <n v="244.5"/>
    <n v="83"/>
    <n v="20.78"/>
    <n v="242.3"/>
    <n v="68"/>
    <n v="10.9"/>
    <x v="119"/>
    <x v="8"/>
    <x v="119"/>
    <x v="1"/>
    <x v="0"/>
  </r>
  <r>
    <s v="RI"/>
    <x v="16"/>
    <s v="area_code_408"/>
    <x v="0"/>
    <x v="1"/>
    <n v="0"/>
    <n v="196.6"/>
    <n v="87"/>
    <n v="33.42"/>
    <n v="117.7"/>
    <n v="103"/>
    <n v="10"/>
    <n v="124.9"/>
    <n v="100"/>
    <n v="5.62"/>
    <x v="37"/>
    <x v="0"/>
    <x v="37"/>
    <x v="2"/>
    <x v="0"/>
  </r>
  <r>
    <s v="AR"/>
    <x v="90"/>
    <s v="area_code_408"/>
    <x v="0"/>
    <x v="0"/>
    <n v="43"/>
    <n v="147.69999999999999"/>
    <n v="95"/>
    <n v="25.11"/>
    <n v="259.3"/>
    <n v="108"/>
    <n v="22.04"/>
    <n v="237.1"/>
    <n v="106"/>
    <n v="10.67"/>
    <x v="56"/>
    <x v="10"/>
    <x v="56"/>
    <x v="3"/>
    <x v="0"/>
  </r>
  <r>
    <s v="IA"/>
    <x v="82"/>
    <s v="area_code_408"/>
    <x v="1"/>
    <x v="1"/>
    <n v="0"/>
    <n v="197.6"/>
    <n v="105"/>
    <n v="33.590000000000003"/>
    <n v="177.5"/>
    <n v="96"/>
    <n v="15.09"/>
    <n v="126.8"/>
    <n v="100"/>
    <n v="5.71"/>
    <x v="29"/>
    <x v="8"/>
    <x v="29"/>
    <x v="3"/>
    <x v="1"/>
  </r>
  <r>
    <s v="CT"/>
    <x v="137"/>
    <s v="area_code_510"/>
    <x v="0"/>
    <x v="0"/>
    <n v="18"/>
    <n v="186.7"/>
    <n v="74"/>
    <n v="31.74"/>
    <n v="220"/>
    <n v="77"/>
    <n v="18.7"/>
    <n v="224.6"/>
    <n v="137"/>
    <n v="10.11"/>
    <x v="42"/>
    <x v="4"/>
    <x v="42"/>
    <x v="0"/>
    <x v="0"/>
  </r>
  <r>
    <s v="SC"/>
    <x v="47"/>
    <s v="area_code_408"/>
    <x v="0"/>
    <x v="0"/>
    <n v="39"/>
    <n v="198.5"/>
    <n v="104"/>
    <n v="33.75"/>
    <n v="163.1"/>
    <n v="107"/>
    <n v="13.86"/>
    <n v="212.2"/>
    <n v="125"/>
    <n v="9.5500000000000007"/>
    <x v="81"/>
    <x v="5"/>
    <x v="81"/>
    <x v="0"/>
    <x v="0"/>
  </r>
  <r>
    <s v="WA"/>
    <x v="48"/>
    <s v="area_code_408"/>
    <x v="0"/>
    <x v="1"/>
    <n v="0"/>
    <n v="161.1"/>
    <n v="133"/>
    <n v="27.39"/>
    <n v="205.3"/>
    <n v="95"/>
    <n v="17.45"/>
    <n v="60.3"/>
    <n v="93"/>
    <n v="2.71"/>
    <x v="1"/>
    <x v="5"/>
    <x v="1"/>
    <x v="2"/>
    <x v="0"/>
  </r>
  <r>
    <s v="AR"/>
    <x v="11"/>
    <s v="area_code_415"/>
    <x v="0"/>
    <x v="0"/>
    <n v="27"/>
    <n v="190.8"/>
    <n v="76"/>
    <n v="32.44"/>
    <n v="177.5"/>
    <n v="104"/>
    <n v="15.09"/>
    <n v="227.3"/>
    <n v="95"/>
    <n v="10.23"/>
    <x v="96"/>
    <x v="8"/>
    <x v="96"/>
    <x v="2"/>
    <x v="0"/>
  </r>
  <r>
    <s v="TX"/>
    <x v="150"/>
    <s v="area_code_415"/>
    <x v="0"/>
    <x v="1"/>
    <n v="0"/>
    <n v="195.2"/>
    <n v="100"/>
    <n v="33.18"/>
    <n v="179.8"/>
    <n v="95"/>
    <n v="15.28"/>
    <n v="298.3"/>
    <n v="115"/>
    <n v="13.42"/>
    <x v="73"/>
    <x v="4"/>
    <x v="73"/>
    <x v="0"/>
    <x v="0"/>
  </r>
  <r>
    <s v="NJ"/>
    <x v="161"/>
    <s v="area_code_510"/>
    <x v="0"/>
    <x v="1"/>
    <n v="0"/>
    <n v="290.5"/>
    <n v="123"/>
    <n v="49.39"/>
    <n v="253"/>
    <n v="77"/>
    <n v="21.51"/>
    <n v="159.30000000000001"/>
    <n v="96"/>
    <n v="7.17"/>
    <x v="61"/>
    <x v="1"/>
    <x v="61"/>
    <x v="2"/>
    <x v="1"/>
  </r>
  <r>
    <s v="ME"/>
    <x v="55"/>
    <s v="area_code_415"/>
    <x v="0"/>
    <x v="0"/>
    <n v="23"/>
    <n v="165.2"/>
    <n v="103"/>
    <n v="28.08"/>
    <n v="193.9"/>
    <n v="78"/>
    <n v="16.48"/>
    <n v="170.9"/>
    <n v="90"/>
    <n v="7.69"/>
    <x v="23"/>
    <x v="5"/>
    <x v="23"/>
    <x v="0"/>
    <x v="0"/>
  </r>
  <r>
    <s v="WI"/>
    <x v="11"/>
    <s v="area_code_415"/>
    <x v="0"/>
    <x v="1"/>
    <n v="0"/>
    <n v="198.9"/>
    <n v="101"/>
    <n v="33.81"/>
    <n v="209.7"/>
    <n v="91"/>
    <n v="17.82"/>
    <n v="145.30000000000001"/>
    <n v="55"/>
    <n v="6.54"/>
    <x v="37"/>
    <x v="4"/>
    <x v="37"/>
    <x v="0"/>
    <x v="0"/>
  </r>
  <r>
    <s v="DE"/>
    <x v="35"/>
    <s v="area_code_408"/>
    <x v="0"/>
    <x v="1"/>
    <n v="0"/>
    <n v="169.2"/>
    <n v="91"/>
    <n v="28.76"/>
    <n v="224.6"/>
    <n v="122"/>
    <n v="19.09"/>
    <n v="108"/>
    <n v="115"/>
    <n v="4.8600000000000003"/>
    <x v="14"/>
    <x v="1"/>
    <x v="14"/>
    <x v="0"/>
    <x v="0"/>
  </r>
  <r>
    <s v="DE"/>
    <x v="85"/>
    <s v="area_code_415"/>
    <x v="0"/>
    <x v="1"/>
    <n v="0"/>
    <n v="275.5"/>
    <n v="76"/>
    <n v="46.84"/>
    <n v="225.8"/>
    <n v="82"/>
    <n v="19.190000000000001"/>
    <n v="327.3"/>
    <n v="87"/>
    <n v="14.73"/>
    <x v="104"/>
    <x v="5"/>
    <x v="104"/>
    <x v="3"/>
    <x v="1"/>
  </r>
  <r>
    <s v="HI"/>
    <x v="60"/>
    <s v="area_code_408"/>
    <x v="0"/>
    <x v="1"/>
    <n v="0"/>
    <n v="226.6"/>
    <n v="119"/>
    <n v="38.520000000000003"/>
    <n v="199.8"/>
    <n v="111"/>
    <n v="16.98"/>
    <n v="219.4"/>
    <n v="141"/>
    <n v="9.8699999999999992"/>
    <x v="50"/>
    <x v="5"/>
    <x v="50"/>
    <x v="3"/>
    <x v="0"/>
  </r>
  <r>
    <s v="PA"/>
    <x v="105"/>
    <s v="area_code_415"/>
    <x v="0"/>
    <x v="1"/>
    <n v="0"/>
    <n v="158.19999999999999"/>
    <n v="130"/>
    <n v="26.89"/>
    <n v="234.6"/>
    <n v="91"/>
    <n v="19.940000000000001"/>
    <n v="291"/>
    <n v="117"/>
    <n v="13.1"/>
    <x v="89"/>
    <x v="0"/>
    <x v="89"/>
    <x v="2"/>
    <x v="0"/>
  </r>
  <r>
    <s v="MA"/>
    <x v="11"/>
    <s v="area_code_415"/>
    <x v="0"/>
    <x v="1"/>
    <n v="0"/>
    <n v="186.4"/>
    <n v="85"/>
    <n v="31.69"/>
    <n v="173.4"/>
    <n v="100"/>
    <n v="14.74"/>
    <n v="294.7"/>
    <n v="73"/>
    <n v="13.26"/>
    <x v="9"/>
    <x v="1"/>
    <x v="9"/>
    <x v="0"/>
    <x v="0"/>
  </r>
  <r>
    <s v="SD"/>
    <x v="36"/>
    <s v="area_code_408"/>
    <x v="0"/>
    <x v="1"/>
    <n v="0"/>
    <n v="165.8"/>
    <n v="94"/>
    <n v="28.19"/>
    <n v="192.8"/>
    <n v="135"/>
    <n v="16.39"/>
    <n v="247.8"/>
    <n v="64"/>
    <n v="11.15"/>
    <x v="70"/>
    <x v="2"/>
    <x v="70"/>
    <x v="3"/>
    <x v="0"/>
  </r>
  <r>
    <s v="PA"/>
    <x v="75"/>
    <s v="area_code_510"/>
    <x v="0"/>
    <x v="1"/>
    <n v="0"/>
    <n v="143.19999999999999"/>
    <n v="127"/>
    <n v="24.34"/>
    <n v="103"/>
    <n v="89"/>
    <n v="8.76"/>
    <n v="233.5"/>
    <n v="94"/>
    <n v="10.51"/>
    <x v="8"/>
    <x v="0"/>
    <x v="8"/>
    <x v="2"/>
    <x v="0"/>
  </r>
  <r>
    <s v="MD"/>
    <x v="74"/>
    <s v="area_code_510"/>
    <x v="0"/>
    <x v="1"/>
    <n v="0"/>
    <n v="238.6"/>
    <n v="107"/>
    <n v="40.56"/>
    <n v="178"/>
    <n v="85"/>
    <n v="15.13"/>
    <n v="196"/>
    <n v="124"/>
    <n v="8.82"/>
    <x v="46"/>
    <x v="4"/>
    <x v="46"/>
    <x v="0"/>
    <x v="0"/>
  </r>
  <r>
    <s v="MS"/>
    <x v="79"/>
    <s v="area_code_408"/>
    <x v="1"/>
    <x v="1"/>
    <n v="0"/>
    <n v="113"/>
    <n v="63"/>
    <n v="19.21"/>
    <n v="187"/>
    <n v="131"/>
    <n v="15.9"/>
    <n v="146.80000000000001"/>
    <n v="61"/>
    <n v="6.61"/>
    <x v="54"/>
    <x v="2"/>
    <x v="54"/>
    <x v="0"/>
    <x v="0"/>
  </r>
  <r>
    <s v="MI"/>
    <x v="43"/>
    <s v="area_code_408"/>
    <x v="0"/>
    <x v="1"/>
    <n v="0"/>
    <n v="149.6"/>
    <n v="74"/>
    <n v="25.43"/>
    <n v="167.9"/>
    <n v="92"/>
    <n v="14.27"/>
    <n v="174.1"/>
    <n v="100"/>
    <n v="7.83"/>
    <x v="123"/>
    <x v="2"/>
    <x v="123"/>
    <x v="1"/>
    <x v="0"/>
  </r>
  <r>
    <s v="ID"/>
    <x v="11"/>
    <s v="area_code_415"/>
    <x v="0"/>
    <x v="1"/>
    <n v="0"/>
    <n v="232"/>
    <n v="80"/>
    <n v="39.44"/>
    <n v="126.1"/>
    <n v="94"/>
    <n v="10.72"/>
    <n v="109.6"/>
    <n v="117"/>
    <n v="4.93"/>
    <x v="42"/>
    <x v="3"/>
    <x v="42"/>
    <x v="0"/>
    <x v="0"/>
  </r>
  <r>
    <s v="NY"/>
    <x v="23"/>
    <s v="area_code_415"/>
    <x v="0"/>
    <x v="1"/>
    <n v="0"/>
    <n v="167.2"/>
    <n v="94"/>
    <n v="28.42"/>
    <n v="218.1"/>
    <n v="121"/>
    <n v="18.54"/>
    <n v="313.10000000000002"/>
    <n v="109"/>
    <n v="14.09"/>
    <x v="35"/>
    <x v="1"/>
    <x v="35"/>
    <x v="3"/>
    <x v="0"/>
  </r>
  <r>
    <s v="AK"/>
    <x v="4"/>
    <s v="area_code_415"/>
    <x v="0"/>
    <x v="1"/>
    <n v="0"/>
    <n v="162.4"/>
    <n v="87"/>
    <n v="27.61"/>
    <n v="285.2"/>
    <n v="104"/>
    <n v="24.24"/>
    <n v="117.4"/>
    <n v="125"/>
    <n v="5.28"/>
    <x v="41"/>
    <x v="1"/>
    <x v="41"/>
    <x v="2"/>
    <x v="0"/>
  </r>
  <r>
    <s v="TN"/>
    <x v="129"/>
    <s v="area_code_510"/>
    <x v="0"/>
    <x v="1"/>
    <n v="0"/>
    <n v="189.6"/>
    <n v="89"/>
    <n v="32.229999999999997"/>
    <n v="251.6"/>
    <n v="116"/>
    <n v="21.39"/>
    <n v="230.9"/>
    <n v="105"/>
    <n v="10.39"/>
    <x v="11"/>
    <x v="10"/>
    <x v="11"/>
    <x v="3"/>
    <x v="0"/>
  </r>
  <r>
    <s v="CT"/>
    <x v="70"/>
    <s v="area_code_415"/>
    <x v="0"/>
    <x v="0"/>
    <n v="24"/>
    <n v="247.6"/>
    <n v="97"/>
    <n v="42.09"/>
    <n v="199.7"/>
    <n v="106"/>
    <n v="16.97"/>
    <n v="217.7"/>
    <n v="91"/>
    <n v="9.8000000000000007"/>
    <x v="47"/>
    <x v="3"/>
    <x v="47"/>
    <x v="0"/>
    <x v="0"/>
  </r>
  <r>
    <s v="HI"/>
    <x v="37"/>
    <s v="area_code_510"/>
    <x v="0"/>
    <x v="1"/>
    <n v="0"/>
    <n v="179.4"/>
    <n v="108"/>
    <n v="30.5"/>
    <n v="263.2"/>
    <n v="74"/>
    <n v="22.37"/>
    <n v="133.30000000000001"/>
    <n v="78"/>
    <n v="6"/>
    <x v="83"/>
    <x v="2"/>
    <x v="83"/>
    <x v="2"/>
    <x v="0"/>
  </r>
  <r>
    <s v="RI"/>
    <x v="124"/>
    <s v="area_code_510"/>
    <x v="0"/>
    <x v="1"/>
    <n v="0"/>
    <n v="245.1"/>
    <n v="68"/>
    <n v="41.67"/>
    <n v="195.8"/>
    <n v="100"/>
    <n v="16.64"/>
    <n v="244.2"/>
    <n v="80"/>
    <n v="10.99"/>
    <x v="73"/>
    <x v="4"/>
    <x v="73"/>
    <x v="2"/>
    <x v="0"/>
  </r>
  <r>
    <s v="MS"/>
    <x v="4"/>
    <s v="area_code_408"/>
    <x v="0"/>
    <x v="0"/>
    <n v="12"/>
    <n v="127.2"/>
    <n v="56"/>
    <n v="21.62"/>
    <n v="241.6"/>
    <n v="114"/>
    <n v="20.54"/>
    <n v="176.6"/>
    <n v="84"/>
    <n v="7.95"/>
    <x v="32"/>
    <x v="0"/>
    <x v="32"/>
    <x v="3"/>
    <x v="0"/>
  </r>
  <r>
    <s v="MS"/>
    <x v="107"/>
    <s v="area_code_415"/>
    <x v="0"/>
    <x v="1"/>
    <n v="0"/>
    <n v="142.69999999999999"/>
    <n v="80"/>
    <n v="24.26"/>
    <n v="205.4"/>
    <n v="135"/>
    <n v="17.46"/>
    <n v="228.1"/>
    <n v="87"/>
    <n v="10.26"/>
    <x v="42"/>
    <x v="12"/>
    <x v="42"/>
    <x v="2"/>
    <x v="0"/>
  </r>
  <r>
    <s v="WI"/>
    <x v="185"/>
    <s v="area_code_510"/>
    <x v="0"/>
    <x v="1"/>
    <n v="0"/>
    <n v="94.5"/>
    <n v="97"/>
    <n v="16.07"/>
    <n v="178.2"/>
    <n v="127"/>
    <n v="15.15"/>
    <n v="230.2"/>
    <n v="99"/>
    <n v="10.36"/>
    <x v="29"/>
    <x v="0"/>
    <x v="29"/>
    <x v="2"/>
    <x v="0"/>
  </r>
  <r>
    <s v="DE"/>
    <x v="76"/>
    <s v="area_code_510"/>
    <x v="0"/>
    <x v="1"/>
    <n v="0"/>
    <n v="241.7"/>
    <n v="115"/>
    <n v="41.09"/>
    <n v="141.5"/>
    <n v="96"/>
    <n v="12.03"/>
    <n v="170.7"/>
    <n v="94"/>
    <n v="7.68"/>
    <x v="141"/>
    <x v="1"/>
    <x v="141"/>
    <x v="2"/>
    <x v="0"/>
  </r>
  <r>
    <s v="CO"/>
    <x v="9"/>
    <s v="area_code_415"/>
    <x v="1"/>
    <x v="1"/>
    <n v="0"/>
    <n v="267.5"/>
    <n v="134"/>
    <n v="45.48"/>
    <n v="242.5"/>
    <n v="110"/>
    <n v="20.61"/>
    <n v="223"/>
    <n v="108"/>
    <n v="10.039999999999999"/>
    <x v="24"/>
    <x v="4"/>
    <x v="24"/>
    <x v="3"/>
    <x v="1"/>
  </r>
  <r>
    <s v="AL"/>
    <x v="154"/>
    <s v="area_code_408"/>
    <x v="0"/>
    <x v="1"/>
    <n v="0"/>
    <n v="290.10000000000002"/>
    <n v="143"/>
    <n v="49.32"/>
    <n v="245.7"/>
    <n v="97"/>
    <n v="20.88"/>
    <n v="147"/>
    <n v="80"/>
    <n v="6.61"/>
    <x v="33"/>
    <x v="4"/>
    <x v="33"/>
    <x v="2"/>
    <x v="1"/>
  </r>
  <r>
    <s v="WY"/>
    <x v="116"/>
    <s v="area_code_415"/>
    <x v="0"/>
    <x v="0"/>
    <n v="24"/>
    <n v="240.5"/>
    <n v="103"/>
    <n v="40.89"/>
    <n v="280.5"/>
    <n v="78"/>
    <n v="23.84"/>
    <n v="212.8"/>
    <n v="69"/>
    <n v="9.58"/>
    <x v="91"/>
    <x v="1"/>
    <x v="91"/>
    <x v="2"/>
    <x v="0"/>
  </r>
  <r>
    <s v="SD"/>
    <x v="93"/>
    <s v="area_code_415"/>
    <x v="0"/>
    <x v="1"/>
    <n v="0"/>
    <n v="284.5"/>
    <n v="104"/>
    <n v="48.37"/>
    <n v="88.6"/>
    <n v="71"/>
    <n v="7.53"/>
    <n v="171.4"/>
    <n v="93"/>
    <n v="7.71"/>
    <x v="60"/>
    <x v="4"/>
    <x v="60"/>
    <x v="0"/>
    <x v="0"/>
  </r>
  <r>
    <s v="WY"/>
    <x v="34"/>
    <s v="area_code_415"/>
    <x v="0"/>
    <x v="1"/>
    <n v="0"/>
    <n v="131.69999999999999"/>
    <n v="85"/>
    <n v="22.39"/>
    <n v="239.6"/>
    <n v="118"/>
    <n v="20.37"/>
    <n v="235.1"/>
    <n v="77"/>
    <n v="10.58"/>
    <x v="56"/>
    <x v="0"/>
    <x v="56"/>
    <x v="0"/>
    <x v="0"/>
  </r>
  <r>
    <s v="SC"/>
    <x v="200"/>
    <s v="area_code_415"/>
    <x v="0"/>
    <x v="0"/>
    <n v="31"/>
    <n v="211.9"/>
    <n v="126"/>
    <n v="36.020000000000003"/>
    <n v="224.3"/>
    <n v="125"/>
    <n v="19.07"/>
    <n v="226.2"/>
    <n v="125"/>
    <n v="10.18"/>
    <x v="12"/>
    <x v="5"/>
    <x v="12"/>
    <x v="0"/>
    <x v="0"/>
  </r>
  <r>
    <s v="FL"/>
    <x v="214"/>
    <s v="area_code_415"/>
    <x v="0"/>
    <x v="1"/>
    <n v="0"/>
    <n v="168.9"/>
    <n v="88"/>
    <n v="28.71"/>
    <n v="235.8"/>
    <n v="98"/>
    <n v="20.04"/>
    <n v="273.2"/>
    <n v="108"/>
    <n v="12.29"/>
    <x v="28"/>
    <x v="0"/>
    <x v="28"/>
    <x v="3"/>
    <x v="0"/>
  </r>
  <r>
    <s v="LA"/>
    <x v="114"/>
    <s v="area_code_415"/>
    <x v="1"/>
    <x v="1"/>
    <n v="0"/>
    <n v="230.5"/>
    <n v="126"/>
    <n v="39.19"/>
    <n v="184.7"/>
    <n v="128"/>
    <n v="15.7"/>
    <n v="159.1"/>
    <n v="152"/>
    <n v="7.16"/>
    <x v="15"/>
    <x v="0"/>
    <x v="15"/>
    <x v="0"/>
    <x v="0"/>
  </r>
  <r>
    <s v="FL"/>
    <x v="25"/>
    <s v="area_code_510"/>
    <x v="0"/>
    <x v="1"/>
    <n v="0"/>
    <n v="195.5"/>
    <n v="77"/>
    <n v="33.24"/>
    <n v="156.30000000000001"/>
    <n v="108"/>
    <n v="13.29"/>
    <n v="217.8"/>
    <n v="133"/>
    <n v="9.8000000000000007"/>
    <x v="48"/>
    <x v="5"/>
    <x v="48"/>
    <x v="0"/>
    <x v="0"/>
  </r>
  <r>
    <s v="WI"/>
    <x v="120"/>
    <s v="area_code_415"/>
    <x v="0"/>
    <x v="1"/>
    <n v="0"/>
    <n v="112.3"/>
    <n v="101"/>
    <n v="19.09"/>
    <n v="204.8"/>
    <n v="140"/>
    <n v="17.41"/>
    <n v="141.19999999999999"/>
    <n v="118"/>
    <n v="6.35"/>
    <x v="64"/>
    <x v="5"/>
    <x v="64"/>
    <x v="0"/>
    <x v="0"/>
  </r>
  <r>
    <s v="IL"/>
    <x v="98"/>
    <s v="area_code_415"/>
    <x v="0"/>
    <x v="1"/>
    <n v="0"/>
    <n v="103.6"/>
    <n v="107"/>
    <n v="17.61"/>
    <n v="82"/>
    <n v="149"/>
    <n v="6.97"/>
    <n v="169.5"/>
    <n v="103"/>
    <n v="7.63"/>
    <x v="2"/>
    <x v="3"/>
    <x v="2"/>
    <x v="1"/>
    <x v="0"/>
  </r>
  <r>
    <s v="NE"/>
    <x v="27"/>
    <s v="area_code_415"/>
    <x v="0"/>
    <x v="1"/>
    <n v="0"/>
    <n v="121.5"/>
    <n v="80"/>
    <n v="20.66"/>
    <n v="220.1"/>
    <n v="97"/>
    <n v="18.71"/>
    <n v="179.5"/>
    <n v="94"/>
    <n v="8.08"/>
    <x v="91"/>
    <x v="1"/>
    <x v="91"/>
    <x v="0"/>
    <x v="0"/>
  </r>
  <r>
    <s v="SC"/>
    <x v="16"/>
    <s v="area_code_415"/>
    <x v="0"/>
    <x v="1"/>
    <n v="0"/>
    <n v="175.8"/>
    <n v="116"/>
    <n v="29.89"/>
    <n v="156.19999999999999"/>
    <n v="125"/>
    <n v="13.28"/>
    <n v="237.4"/>
    <n v="106"/>
    <n v="10.68"/>
    <x v="105"/>
    <x v="4"/>
    <x v="105"/>
    <x v="1"/>
    <x v="0"/>
  </r>
  <r>
    <s v="MI"/>
    <x v="139"/>
    <s v="area_code_415"/>
    <x v="0"/>
    <x v="1"/>
    <n v="0"/>
    <n v="165.9"/>
    <n v="98"/>
    <n v="28.2"/>
    <n v="161.9"/>
    <n v="110"/>
    <n v="13.76"/>
    <n v="208.9"/>
    <n v="120"/>
    <n v="9.4"/>
    <x v="7"/>
    <x v="12"/>
    <x v="7"/>
    <x v="2"/>
    <x v="0"/>
  </r>
  <r>
    <s v="OR"/>
    <x v="66"/>
    <s v="area_code_408"/>
    <x v="0"/>
    <x v="1"/>
    <n v="0"/>
    <n v="152"/>
    <n v="86"/>
    <n v="25.84"/>
    <n v="162.80000000000001"/>
    <n v="61"/>
    <n v="13.84"/>
    <n v="161.9"/>
    <n v="98"/>
    <n v="7.29"/>
    <x v="38"/>
    <x v="0"/>
    <x v="38"/>
    <x v="0"/>
    <x v="0"/>
  </r>
  <r>
    <s v="CA"/>
    <x v="94"/>
    <s v="area_code_408"/>
    <x v="0"/>
    <x v="1"/>
    <n v="0"/>
    <n v="146.80000000000001"/>
    <n v="99"/>
    <n v="24.96"/>
    <n v="190.5"/>
    <n v="101"/>
    <n v="16.190000000000001"/>
    <n v="146.1"/>
    <n v="68"/>
    <n v="6.57"/>
    <x v="38"/>
    <x v="5"/>
    <x v="38"/>
    <x v="1"/>
    <x v="0"/>
  </r>
  <r>
    <s v="MO"/>
    <x v="141"/>
    <s v="area_code_510"/>
    <x v="0"/>
    <x v="1"/>
    <n v="0"/>
    <n v="201.9"/>
    <n v="114"/>
    <n v="34.32"/>
    <n v="181.7"/>
    <n v="97"/>
    <n v="15.44"/>
    <n v="184.5"/>
    <n v="122"/>
    <n v="8.3000000000000007"/>
    <x v="47"/>
    <x v="11"/>
    <x v="47"/>
    <x v="1"/>
    <x v="0"/>
  </r>
  <r>
    <s v="WY"/>
    <x v="115"/>
    <s v="area_code_408"/>
    <x v="0"/>
    <x v="1"/>
    <n v="0"/>
    <n v="121.4"/>
    <n v="95"/>
    <n v="20.64"/>
    <n v="230.9"/>
    <n v="81"/>
    <n v="19.63"/>
    <n v="163.6"/>
    <n v="103"/>
    <n v="7.36"/>
    <x v="12"/>
    <x v="4"/>
    <x v="12"/>
    <x v="2"/>
    <x v="0"/>
  </r>
  <r>
    <s v="AR"/>
    <x v="62"/>
    <s v="area_code_415"/>
    <x v="0"/>
    <x v="0"/>
    <n v="34"/>
    <n v="243.4"/>
    <n v="96"/>
    <n v="41.38"/>
    <n v="102.3"/>
    <n v="115"/>
    <n v="8.6999999999999993"/>
    <n v="217.8"/>
    <n v="95"/>
    <n v="9.8000000000000007"/>
    <x v="1"/>
    <x v="0"/>
    <x v="1"/>
    <x v="0"/>
    <x v="0"/>
  </r>
  <r>
    <s v="WI"/>
    <x v="43"/>
    <s v="area_code_408"/>
    <x v="0"/>
    <x v="1"/>
    <n v="0"/>
    <n v="152.4"/>
    <n v="101"/>
    <n v="25.91"/>
    <n v="191"/>
    <n v="90"/>
    <n v="16.239999999999998"/>
    <n v="143"/>
    <n v="96"/>
    <n v="6.44"/>
    <x v="22"/>
    <x v="6"/>
    <x v="22"/>
    <x v="1"/>
    <x v="0"/>
  </r>
  <r>
    <s v="RI"/>
    <x v="137"/>
    <s v="area_code_415"/>
    <x v="0"/>
    <x v="1"/>
    <n v="0"/>
    <n v="139.69999999999999"/>
    <n v="112"/>
    <n v="23.75"/>
    <n v="226.8"/>
    <n v="62"/>
    <n v="19.28"/>
    <n v="168.5"/>
    <n v="65"/>
    <n v="7.58"/>
    <x v="127"/>
    <x v="2"/>
    <x v="127"/>
    <x v="0"/>
    <x v="0"/>
  </r>
  <r>
    <s v="WV"/>
    <x v="190"/>
    <s v="area_code_510"/>
    <x v="0"/>
    <x v="1"/>
    <n v="0"/>
    <n v="170.2"/>
    <n v="83"/>
    <n v="28.93"/>
    <n v="137.19999999999999"/>
    <n v="123"/>
    <n v="11.66"/>
    <n v="188"/>
    <n v="67"/>
    <n v="8.4600000000000009"/>
    <x v="22"/>
    <x v="2"/>
    <x v="22"/>
    <x v="2"/>
    <x v="0"/>
  </r>
  <r>
    <s v="CT"/>
    <x v="91"/>
    <s v="area_code_510"/>
    <x v="0"/>
    <x v="1"/>
    <n v="0"/>
    <n v="144.1"/>
    <n v="111"/>
    <n v="24.5"/>
    <n v="224.8"/>
    <n v="89"/>
    <n v="19.11"/>
    <n v="132.9"/>
    <n v="110"/>
    <n v="5.98"/>
    <x v="109"/>
    <x v="0"/>
    <x v="109"/>
    <x v="4"/>
    <x v="1"/>
  </r>
  <r>
    <s v="MN"/>
    <x v="139"/>
    <s v="area_code_415"/>
    <x v="0"/>
    <x v="1"/>
    <n v="0"/>
    <n v="128.9"/>
    <n v="85"/>
    <n v="21.91"/>
    <n v="201.4"/>
    <n v="93"/>
    <n v="17.12"/>
    <n v="275.3"/>
    <n v="103"/>
    <n v="12.39"/>
    <x v="22"/>
    <x v="0"/>
    <x v="22"/>
    <x v="0"/>
    <x v="0"/>
  </r>
  <r>
    <s v="IN"/>
    <x v="69"/>
    <s v="area_code_510"/>
    <x v="0"/>
    <x v="1"/>
    <n v="0"/>
    <n v="6.6"/>
    <n v="107"/>
    <n v="1.1200000000000001"/>
    <n v="359.3"/>
    <n v="142"/>
    <n v="30.54"/>
    <n v="252.5"/>
    <n v="131"/>
    <n v="11.36"/>
    <x v="113"/>
    <x v="0"/>
    <x v="113"/>
    <x v="1"/>
    <x v="0"/>
  </r>
  <r>
    <s v="MD"/>
    <x v="64"/>
    <s v="area_code_415"/>
    <x v="0"/>
    <x v="1"/>
    <n v="0"/>
    <n v="94.3"/>
    <n v="97"/>
    <n v="16.03"/>
    <n v="181.5"/>
    <n v="91"/>
    <n v="15.43"/>
    <n v="176.5"/>
    <n v="149"/>
    <n v="7.94"/>
    <x v="63"/>
    <x v="4"/>
    <x v="63"/>
    <x v="0"/>
    <x v="0"/>
  </r>
  <r>
    <s v="UT"/>
    <x v="129"/>
    <s v="area_code_415"/>
    <x v="0"/>
    <x v="0"/>
    <n v="17"/>
    <n v="230.7"/>
    <n v="122"/>
    <n v="39.22"/>
    <n v="207.1"/>
    <n v="85"/>
    <n v="17.600000000000001"/>
    <n v="208.9"/>
    <n v="73"/>
    <n v="9.4"/>
    <x v="29"/>
    <x v="8"/>
    <x v="29"/>
    <x v="3"/>
    <x v="0"/>
  </r>
  <r>
    <s v="MS"/>
    <x v="19"/>
    <s v="area_code_415"/>
    <x v="1"/>
    <x v="1"/>
    <n v="0"/>
    <n v="144.30000000000001"/>
    <n v="70"/>
    <n v="24.53"/>
    <n v="231.5"/>
    <n v="125"/>
    <n v="19.68"/>
    <n v="304.3"/>
    <n v="137"/>
    <n v="13.69"/>
    <x v="99"/>
    <x v="5"/>
    <x v="99"/>
    <x v="0"/>
    <x v="1"/>
  </r>
  <r>
    <s v="OH"/>
    <x v="65"/>
    <s v="area_code_415"/>
    <x v="0"/>
    <x v="0"/>
    <n v="30"/>
    <n v="126"/>
    <n v="124"/>
    <n v="21.42"/>
    <n v="202.4"/>
    <n v="84"/>
    <n v="17.2"/>
    <n v="186.4"/>
    <n v="99"/>
    <n v="8.39"/>
    <x v="53"/>
    <x v="8"/>
    <x v="53"/>
    <x v="0"/>
    <x v="0"/>
  </r>
  <r>
    <s v="NE"/>
    <x v="14"/>
    <s v="area_code_510"/>
    <x v="0"/>
    <x v="1"/>
    <n v="0"/>
    <n v="143.30000000000001"/>
    <n v="98"/>
    <n v="24.36"/>
    <n v="309.10000000000002"/>
    <n v="101"/>
    <n v="26.27"/>
    <n v="207.3"/>
    <n v="122"/>
    <n v="9.33"/>
    <x v="37"/>
    <x v="0"/>
    <x v="37"/>
    <x v="2"/>
    <x v="0"/>
  </r>
  <r>
    <s v="NE"/>
    <x v="11"/>
    <s v="area_code_510"/>
    <x v="0"/>
    <x v="1"/>
    <n v="0"/>
    <n v="88"/>
    <n v="81"/>
    <n v="14.96"/>
    <n v="145.9"/>
    <n v="109"/>
    <n v="12.4"/>
    <n v="237.7"/>
    <n v="90"/>
    <n v="10.7"/>
    <x v="52"/>
    <x v="5"/>
    <x v="52"/>
    <x v="2"/>
    <x v="0"/>
  </r>
  <r>
    <s v="MO"/>
    <x v="64"/>
    <s v="area_code_408"/>
    <x v="0"/>
    <x v="1"/>
    <n v="0"/>
    <n v="121"/>
    <n v="139"/>
    <n v="20.57"/>
    <n v="270.39999999999998"/>
    <n v="121"/>
    <n v="22.98"/>
    <n v="141"/>
    <n v="90"/>
    <n v="6.35"/>
    <x v="58"/>
    <x v="10"/>
    <x v="58"/>
    <x v="0"/>
    <x v="0"/>
  </r>
  <r>
    <s v="UT"/>
    <x v="97"/>
    <s v="area_code_408"/>
    <x v="0"/>
    <x v="0"/>
    <n v="0"/>
    <n v="212.9"/>
    <n v="80"/>
    <n v="36.19"/>
    <n v="236.1"/>
    <n v="57"/>
    <n v="20.07"/>
    <n v="187.6"/>
    <n v="99"/>
    <n v="8.44"/>
    <x v="82"/>
    <x v="4"/>
    <x v="82"/>
    <x v="2"/>
    <x v="0"/>
  </r>
  <r>
    <s v="VT"/>
    <x v="72"/>
    <s v="area_code_415"/>
    <x v="0"/>
    <x v="1"/>
    <n v="0"/>
    <n v="217.5"/>
    <n v="116"/>
    <n v="36.979999999999997"/>
    <n v="258.5"/>
    <n v="108"/>
    <n v="21.97"/>
    <n v="210.4"/>
    <n v="99"/>
    <n v="9.4700000000000006"/>
    <x v="6"/>
    <x v="0"/>
    <x v="6"/>
    <x v="0"/>
    <x v="0"/>
  </r>
  <r>
    <s v="MN"/>
    <x v="199"/>
    <s v="area_code_415"/>
    <x v="0"/>
    <x v="1"/>
    <n v="0"/>
    <n v="138.1"/>
    <n v="115"/>
    <n v="23.48"/>
    <n v="196.5"/>
    <n v="55"/>
    <n v="16.7"/>
    <n v="213.9"/>
    <n v="100"/>
    <n v="9.6300000000000008"/>
    <x v="50"/>
    <x v="4"/>
    <x v="50"/>
    <x v="0"/>
    <x v="0"/>
  </r>
  <r>
    <s v="AZ"/>
    <x v="28"/>
    <s v="area_code_408"/>
    <x v="0"/>
    <x v="0"/>
    <n v="40"/>
    <n v="212.1"/>
    <n v="90"/>
    <n v="36.06"/>
    <n v="233.9"/>
    <n v="110"/>
    <n v="19.88"/>
    <n v="234"/>
    <n v="84"/>
    <n v="10.53"/>
    <x v="5"/>
    <x v="4"/>
    <x v="5"/>
    <x v="1"/>
    <x v="0"/>
  </r>
  <r>
    <s v="ND"/>
    <x v="177"/>
    <s v="area_code_510"/>
    <x v="0"/>
    <x v="0"/>
    <n v="16"/>
    <n v="196"/>
    <n v="85"/>
    <n v="33.32"/>
    <n v="107.1"/>
    <n v="119"/>
    <n v="9.1"/>
    <n v="205.9"/>
    <n v="110"/>
    <n v="9.27"/>
    <x v="84"/>
    <x v="8"/>
    <x v="84"/>
    <x v="0"/>
    <x v="0"/>
  </r>
  <r>
    <s v="RI"/>
    <x v="113"/>
    <s v="area_code_415"/>
    <x v="0"/>
    <x v="0"/>
    <n v="23"/>
    <n v="186.2"/>
    <n v="95"/>
    <n v="31.65"/>
    <n v="258.3"/>
    <n v="129"/>
    <n v="21.96"/>
    <n v="183.9"/>
    <n v="93"/>
    <n v="8.2799999999999994"/>
    <x v="35"/>
    <x v="3"/>
    <x v="35"/>
    <x v="1"/>
    <x v="0"/>
  </r>
  <r>
    <s v="OH"/>
    <x v="18"/>
    <s v="area_code_408"/>
    <x v="1"/>
    <x v="1"/>
    <n v="0"/>
    <n v="145.80000000000001"/>
    <n v="106"/>
    <n v="24.79"/>
    <n v="172.5"/>
    <n v="143"/>
    <n v="14.66"/>
    <n v="143.9"/>
    <n v="123"/>
    <n v="6.48"/>
    <x v="78"/>
    <x v="4"/>
    <x v="78"/>
    <x v="0"/>
    <x v="0"/>
  </r>
  <r>
    <s v="IN"/>
    <x v="31"/>
    <s v="area_code_510"/>
    <x v="0"/>
    <x v="0"/>
    <n v="33"/>
    <n v="137"/>
    <n v="100"/>
    <n v="23.29"/>
    <n v="203.5"/>
    <n v="82"/>
    <n v="17.3"/>
    <n v="218.7"/>
    <n v="64"/>
    <n v="9.84"/>
    <x v="41"/>
    <x v="4"/>
    <x v="41"/>
    <x v="2"/>
    <x v="0"/>
  </r>
  <r>
    <s v="NV"/>
    <x v="142"/>
    <s v="area_code_408"/>
    <x v="0"/>
    <x v="1"/>
    <n v="0"/>
    <n v="191.3"/>
    <n v="120"/>
    <n v="32.520000000000003"/>
    <n v="216.4"/>
    <n v="124"/>
    <n v="18.39"/>
    <n v="100.3"/>
    <n v="132"/>
    <n v="4.51"/>
    <x v="53"/>
    <x v="6"/>
    <x v="53"/>
    <x v="3"/>
    <x v="0"/>
  </r>
  <r>
    <s v="MN"/>
    <x v="121"/>
    <s v="area_code_510"/>
    <x v="0"/>
    <x v="1"/>
    <n v="0"/>
    <n v="86"/>
    <n v="105"/>
    <n v="14.62"/>
    <n v="215.5"/>
    <n v="102"/>
    <n v="18.32"/>
    <n v="185.7"/>
    <n v="83"/>
    <n v="8.36"/>
    <x v="45"/>
    <x v="0"/>
    <x v="45"/>
    <x v="3"/>
    <x v="0"/>
  </r>
  <r>
    <s v="AR"/>
    <x v="144"/>
    <s v="area_code_408"/>
    <x v="0"/>
    <x v="0"/>
    <n v="24"/>
    <n v="139.80000000000001"/>
    <n v="58"/>
    <n v="23.77"/>
    <n v="253.8"/>
    <n v="110"/>
    <n v="21.57"/>
    <n v="252.8"/>
    <n v="113"/>
    <n v="11.38"/>
    <x v="22"/>
    <x v="3"/>
    <x v="22"/>
    <x v="0"/>
    <x v="0"/>
  </r>
  <r>
    <s v="WY"/>
    <x v="7"/>
    <s v="area_code_408"/>
    <x v="0"/>
    <x v="1"/>
    <n v="0"/>
    <n v="301.39999999999998"/>
    <n v="87"/>
    <n v="51.24"/>
    <n v="269.2"/>
    <n v="111"/>
    <n v="22.88"/>
    <n v="148.6"/>
    <n v="95"/>
    <n v="6.69"/>
    <x v="90"/>
    <x v="1"/>
    <x v="90"/>
    <x v="1"/>
    <x v="1"/>
  </r>
  <r>
    <s v="OR"/>
    <x v="173"/>
    <s v="area_code_415"/>
    <x v="0"/>
    <x v="1"/>
    <n v="0"/>
    <n v="195"/>
    <n v="81"/>
    <n v="33.15"/>
    <n v="266.2"/>
    <n v="123"/>
    <n v="22.63"/>
    <n v="213.9"/>
    <n v="132"/>
    <n v="9.6300000000000008"/>
    <x v="22"/>
    <x v="3"/>
    <x v="22"/>
    <x v="1"/>
    <x v="0"/>
  </r>
  <r>
    <s v="IA"/>
    <x v="54"/>
    <s v="area_code_510"/>
    <x v="0"/>
    <x v="1"/>
    <n v="0"/>
    <n v="202"/>
    <n v="106"/>
    <n v="34.340000000000003"/>
    <n v="174.7"/>
    <n v="70"/>
    <n v="14.85"/>
    <n v="152.9"/>
    <n v="92"/>
    <n v="6.88"/>
    <x v="120"/>
    <x v="3"/>
    <x v="120"/>
    <x v="4"/>
    <x v="0"/>
  </r>
  <r>
    <s v="ND"/>
    <x v="45"/>
    <s v="area_code_415"/>
    <x v="1"/>
    <x v="1"/>
    <n v="0"/>
    <n v="211.6"/>
    <n v="87"/>
    <n v="35.97"/>
    <n v="106.9"/>
    <n v="68"/>
    <n v="9.09"/>
    <n v="239.2"/>
    <n v="99"/>
    <n v="10.76"/>
    <x v="71"/>
    <x v="12"/>
    <x v="71"/>
    <x v="1"/>
    <x v="1"/>
  </r>
  <r>
    <s v="NJ"/>
    <x v="16"/>
    <s v="area_code_415"/>
    <x v="1"/>
    <x v="1"/>
    <n v="0"/>
    <n v="323.7"/>
    <n v="106"/>
    <n v="55.03"/>
    <n v="139.19999999999999"/>
    <n v="99"/>
    <n v="11.83"/>
    <n v="204.4"/>
    <n v="89"/>
    <n v="9.1999999999999993"/>
    <x v="31"/>
    <x v="0"/>
    <x v="31"/>
    <x v="8"/>
    <x v="1"/>
  </r>
  <r>
    <s v="HI"/>
    <x v="61"/>
    <s v="area_code_408"/>
    <x v="0"/>
    <x v="1"/>
    <n v="0"/>
    <n v="214.2"/>
    <n v="121"/>
    <n v="36.409999999999997"/>
    <n v="199.5"/>
    <n v="68"/>
    <n v="16.96"/>
    <n v="216.8"/>
    <n v="132"/>
    <n v="9.76"/>
    <x v="50"/>
    <x v="11"/>
    <x v="50"/>
    <x v="3"/>
    <x v="0"/>
  </r>
  <r>
    <s v="TX"/>
    <x v="8"/>
    <s v="area_code_415"/>
    <x v="0"/>
    <x v="1"/>
    <n v="0"/>
    <n v="143.6"/>
    <n v="98"/>
    <n v="24.41"/>
    <n v="187.7"/>
    <n v="96"/>
    <n v="15.95"/>
    <n v="200.2"/>
    <n v="104"/>
    <n v="9.01"/>
    <x v="38"/>
    <x v="5"/>
    <x v="38"/>
    <x v="3"/>
    <x v="1"/>
  </r>
  <r>
    <s v="MN"/>
    <x v="147"/>
    <s v="area_code_415"/>
    <x v="0"/>
    <x v="0"/>
    <n v="32"/>
    <n v="135.69999999999999"/>
    <n v="108"/>
    <n v="23.07"/>
    <n v="216.5"/>
    <n v="134"/>
    <n v="18.399999999999999"/>
    <n v="160.5"/>
    <n v="125"/>
    <n v="7.22"/>
    <x v="14"/>
    <x v="2"/>
    <x v="14"/>
    <x v="0"/>
    <x v="0"/>
  </r>
  <r>
    <s v="AR"/>
    <x v="35"/>
    <s v="area_code_415"/>
    <x v="0"/>
    <x v="0"/>
    <n v="35"/>
    <n v="203.1"/>
    <n v="104"/>
    <n v="34.53"/>
    <n v="211.8"/>
    <n v="91"/>
    <n v="18"/>
    <n v="246.1"/>
    <n v="105"/>
    <n v="11.07"/>
    <x v="84"/>
    <x v="3"/>
    <x v="84"/>
    <x v="1"/>
    <x v="0"/>
  </r>
  <r>
    <s v="OK"/>
    <x v="77"/>
    <s v="area_code_510"/>
    <x v="0"/>
    <x v="1"/>
    <n v="0"/>
    <n v="281.2"/>
    <n v="78"/>
    <n v="47.8"/>
    <n v="302.3"/>
    <n v="89"/>
    <n v="25.7"/>
    <n v="188.4"/>
    <n v="92"/>
    <n v="8.48"/>
    <x v="31"/>
    <x v="4"/>
    <x v="31"/>
    <x v="1"/>
    <x v="1"/>
  </r>
  <r>
    <s v="IL"/>
    <x v="36"/>
    <s v="area_code_510"/>
    <x v="0"/>
    <x v="1"/>
    <n v="0"/>
    <n v="207.1"/>
    <n v="86"/>
    <n v="35.21"/>
    <n v="162"/>
    <n v="98"/>
    <n v="13.77"/>
    <n v="243"/>
    <n v="102"/>
    <n v="10.93"/>
    <x v="120"/>
    <x v="8"/>
    <x v="120"/>
    <x v="0"/>
    <x v="0"/>
  </r>
  <r>
    <s v="VA"/>
    <x v="103"/>
    <s v="area_code_415"/>
    <x v="0"/>
    <x v="1"/>
    <n v="0"/>
    <n v="145.6"/>
    <n v="105"/>
    <n v="24.75"/>
    <n v="250.9"/>
    <n v="82"/>
    <n v="21.33"/>
    <n v="156.6"/>
    <n v="102"/>
    <n v="7.05"/>
    <x v="1"/>
    <x v="2"/>
    <x v="1"/>
    <x v="0"/>
    <x v="0"/>
  </r>
  <r>
    <s v="WV"/>
    <x v="55"/>
    <s v="area_code_510"/>
    <x v="0"/>
    <x v="1"/>
    <n v="0"/>
    <n v="202.9"/>
    <n v="96"/>
    <n v="34.49"/>
    <n v="234.2"/>
    <n v="105"/>
    <n v="19.91"/>
    <n v="217.4"/>
    <n v="123"/>
    <n v="9.7799999999999994"/>
    <x v="3"/>
    <x v="0"/>
    <x v="3"/>
    <x v="4"/>
    <x v="0"/>
  </r>
  <r>
    <s v="TX"/>
    <x v="131"/>
    <s v="area_code_415"/>
    <x v="0"/>
    <x v="0"/>
    <n v="23"/>
    <n v="210.7"/>
    <n v="119"/>
    <n v="35.82"/>
    <n v="137.4"/>
    <n v="51"/>
    <n v="11.68"/>
    <n v="248.2"/>
    <n v="92"/>
    <n v="11.17"/>
    <x v="57"/>
    <x v="3"/>
    <x v="57"/>
    <x v="2"/>
    <x v="0"/>
  </r>
  <r>
    <s v="NC"/>
    <x v="67"/>
    <s v="area_code_510"/>
    <x v="0"/>
    <x v="1"/>
    <n v="0"/>
    <n v="217.2"/>
    <n v="92"/>
    <n v="36.92"/>
    <n v="204.5"/>
    <n v="83"/>
    <n v="17.38"/>
    <n v="157.9"/>
    <n v="101"/>
    <n v="7.11"/>
    <x v="37"/>
    <x v="11"/>
    <x v="37"/>
    <x v="0"/>
    <x v="0"/>
  </r>
  <r>
    <s v="MN"/>
    <x v="64"/>
    <s v="area_code_415"/>
    <x v="0"/>
    <x v="1"/>
    <n v="0"/>
    <n v="198"/>
    <n v="101"/>
    <n v="33.659999999999997"/>
    <n v="190.2"/>
    <n v="74"/>
    <n v="16.170000000000002"/>
    <n v="241.2"/>
    <n v="105"/>
    <n v="10.85"/>
    <x v="24"/>
    <x v="11"/>
    <x v="24"/>
    <x v="4"/>
    <x v="0"/>
  </r>
  <r>
    <s v="VA"/>
    <x v="44"/>
    <s v="area_code_408"/>
    <x v="0"/>
    <x v="0"/>
    <n v="28"/>
    <n v="212.8"/>
    <n v="117"/>
    <n v="36.18"/>
    <n v="159.9"/>
    <n v="86"/>
    <n v="13.59"/>
    <n v="222.7"/>
    <n v="88"/>
    <n v="10.02"/>
    <x v="77"/>
    <x v="13"/>
    <x v="77"/>
    <x v="0"/>
    <x v="0"/>
  </r>
  <r>
    <s v="WA"/>
    <x v="86"/>
    <s v="area_code_415"/>
    <x v="1"/>
    <x v="1"/>
    <n v="0"/>
    <n v="180.9"/>
    <n v="121"/>
    <n v="30.75"/>
    <n v="134.30000000000001"/>
    <n v="107"/>
    <n v="11.42"/>
    <n v="179.3"/>
    <n v="74"/>
    <n v="8.07"/>
    <x v="53"/>
    <x v="5"/>
    <x v="53"/>
    <x v="2"/>
    <x v="1"/>
  </r>
  <r>
    <s v="AL"/>
    <x v="62"/>
    <s v="area_code_415"/>
    <x v="0"/>
    <x v="1"/>
    <n v="0"/>
    <n v="209.9"/>
    <n v="109"/>
    <n v="35.68"/>
    <n v="226.1"/>
    <n v="56"/>
    <n v="19.22"/>
    <n v="154.19999999999999"/>
    <n v="121"/>
    <n v="6.94"/>
    <x v="62"/>
    <x v="1"/>
    <x v="62"/>
    <x v="0"/>
    <x v="0"/>
  </r>
  <r>
    <s v="MN"/>
    <x v="150"/>
    <s v="area_code_408"/>
    <x v="0"/>
    <x v="1"/>
    <n v="0"/>
    <n v="112.9"/>
    <n v="81"/>
    <n v="19.190000000000001"/>
    <n v="224.8"/>
    <n v="68"/>
    <n v="19.11"/>
    <n v="188.4"/>
    <n v="122"/>
    <n v="8.48"/>
    <x v="61"/>
    <x v="2"/>
    <x v="61"/>
    <x v="4"/>
    <x v="1"/>
  </r>
  <r>
    <s v="ME"/>
    <x v="121"/>
    <s v="area_code_415"/>
    <x v="0"/>
    <x v="1"/>
    <n v="0"/>
    <n v="242.5"/>
    <n v="71"/>
    <n v="41.23"/>
    <n v="213.3"/>
    <n v="109"/>
    <n v="18.13"/>
    <n v="231"/>
    <n v="84"/>
    <n v="10.4"/>
    <x v="21"/>
    <x v="0"/>
    <x v="21"/>
    <x v="3"/>
    <x v="0"/>
  </r>
  <r>
    <s v="AL"/>
    <x v="20"/>
    <s v="area_code_415"/>
    <x v="0"/>
    <x v="1"/>
    <n v="0"/>
    <n v="190.1"/>
    <n v="114"/>
    <n v="32.32"/>
    <n v="274.5"/>
    <n v="96"/>
    <n v="23.33"/>
    <n v="132.5"/>
    <n v="122"/>
    <n v="5.96"/>
    <x v="29"/>
    <x v="1"/>
    <x v="29"/>
    <x v="3"/>
    <x v="0"/>
  </r>
  <r>
    <s v="OH"/>
    <x v="79"/>
    <s v="area_code_408"/>
    <x v="0"/>
    <x v="1"/>
    <n v="0"/>
    <n v="185.9"/>
    <n v="106"/>
    <n v="31.6"/>
    <n v="209.7"/>
    <n v="112"/>
    <n v="17.82"/>
    <n v="224.7"/>
    <n v="87"/>
    <n v="10.11"/>
    <x v="38"/>
    <x v="4"/>
    <x v="38"/>
    <x v="2"/>
    <x v="0"/>
  </r>
  <r>
    <s v="OR"/>
    <x v="19"/>
    <s v="area_code_510"/>
    <x v="0"/>
    <x v="1"/>
    <n v="0"/>
    <n v="265.8"/>
    <n v="122"/>
    <n v="45.19"/>
    <n v="285.10000000000002"/>
    <n v="90"/>
    <n v="24.23"/>
    <n v="183.6"/>
    <n v="124"/>
    <n v="8.26"/>
    <x v="109"/>
    <x v="6"/>
    <x v="109"/>
    <x v="2"/>
    <x v="1"/>
  </r>
  <r>
    <s v="ID"/>
    <x v="20"/>
    <s v="area_code_415"/>
    <x v="0"/>
    <x v="1"/>
    <n v="0"/>
    <n v="217.1"/>
    <n v="115"/>
    <n v="36.909999999999997"/>
    <n v="258.60000000000002"/>
    <n v="92"/>
    <n v="21.98"/>
    <n v="173.7"/>
    <n v="117"/>
    <n v="7.82"/>
    <x v="44"/>
    <x v="3"/>
    <x v="44"/>
    <x v="2"/>
    <x v="0"/>
  </r>
  <r>
    <s v="CA"/>
    <x v="203"/>
    <s v="area_code_510"/>
    <x v="0"/>
    <x v="1"/>
    <n v="0"/>
    <n v="161.19999999999999"/>
    <n v="121"/>
    <n v="27.4"/>
    <n v="136.69999999999999"/>
    <n v="109"/>
    <n v="11.62"/>
    <n v="103.3"/>
    <n v="63"/>
    <n v="4.6500000000000004"/>
    <x v="63"/>
    <x v="6"/>
    <x v="63"/>
    <x v="0"/>
    <x v="0"/>
  </r>
  <r>
    <s v="OK"/>
    <x v="54"/>
    <s v="area_code_408"/>
    <x v="0"/>
    <x v="1"/>
    <n v="0"/>
    <n v="198.7"/>
    <n v="114"/>
    <n v="33.78"/>
    <n v="141.5"/>
    <n v="90"/>
    <n v="12.03"/>
    <n v="293"/>
    <n v="79"/>
    <n v="13.18"/>
    <x v="26"/>
    <x v="1"/>
    <x v="26"/>
    <x v="4"/>
    <x v="0"/>
  </r>
  <r>
    <s v="NH"/>
    <x v="113"/>
    <s v="area_code_510"/>
    <x v="1"/>
    <x v="0"/>
    <n v="28"/>
    <n v="136.4"/>
    <n v="93"/>
    <n v="23.19"/>
    <n v="170"/>
    <n v="90"/>
    <n v="14.45"/>
    <n v="191.5"/>
    <n v="73"/>
    <n v="8.6199999999999992"/>
    <x v="28"/>
    <x v="4"/>
    <x v="28"/>
    <x v="2"/>
    <x v="1"/>
  </r>
  <r>
    <s v="MO"/>
    <x v="185"/>
    <s v="area_code_415"/>
    <x v="0"/>
    <x v="1"/>
    <n v="0"/>
    <n v="162"/>
    <n v="87"/>
    <n v="27.54"/>
    <n v="199.5"/>
    <n v="147"/>
    <n v="16.96"/>
    <n v="243"/>
    <n v="66"/>
    <n v="10.93"/>
    <x v="151"/>
    <x v="1"/>
    <x v="151"/>
    <x v="0"/>
    <x v="0"/>
  </r>
  <r>
    <s v="RI"/>
    <x v="153"/>
    <s v="area_code_415"/>
    <x v="0"/>
    <x v="1"/>
    <n v="0"/>
    <n v="189.5"/>
    <n v="108"/>
    <n v="32.22"/>
    <n v="218.4"/>
    <n v="69"/>
    <n v="18.559999999999999"/>
    <n v="291.10000000000002"/>
    <n v="81"/>
    <n v="13.1"/>
    <x v="34"/>
    <x v="5"/>
    <x v="34"/>
    <x v="3"/>
    <x v="0"/>
  </r>
  <r>
    <s v="NM"/>
    <x v="147"/>
    <s v="area_code_510"/>
    <x v="0"/>
    <x v="0"/>
    <n v="18"/>
    <n v="144.4"/>
    <n v="76"/>
    <n v="24.55"/>
    <n v="160.69999999999999"/>
    <n v="97"/>
    <n v="13.66"/>
    <n v="200.8"/>
    <n v="101"/>
    <n v="9.0399999999999991"/>
    <x v="38"/>
    <x v="4"/>
    <x v="38"/>
    <x v="1"/>
    <x v="0"/>
  </r>
  <r>
    <s v="ID"/>
    <x v="77"/>
    <s v="area_code_415"/>
    <x v="0"/>
    <x v="1"/>
    <n v="0"/>
    <n v="170.1"/>
    <n v="87"/>
    <n v="28.92"/>
    <n v="216.6"/>
    <n v="98"/>
    <n v="18.41"/>
    <n v="225"/>
    <n v="88"/>
    <n v="10.130000000000001"/>
    <x v="81"/>
    <x v="0"/>
    <x v="81"/>
    <x v="2"/>
    <x v="0"/>
  </r>
  <r>
    <s v="ME"/>
    <x v="53"/>
    <s v="area_code_415"/>
    <x v="0"/>
    <x v="1"/>
    <n v="0"/>
    <n v="104"/>
    <n v="104"/>
    <n v="17.68"/>
    <n v="170.9"/>
    <n v="106"/>
    <n v="14.53"/>
    <n v="158.80000000000001"/>
    <n v="99"/>
    <n v="7.15"/>
    <x v="6"/>
    <x v="1"/>
    <x v="6"/>
    <x v="4"/>
    <x v="1"/>
  </r>
  <r>
    <s v="DC"/>
    <x v="105"/>
    <s v="area_code_408"/>
    <x v="0"/>
    <x v="1"/>
    <n v="0"/>
    <n v="204.8"/>
    <n v="100"/>
    <n v="34.82"/>
    <n v="193.9"/>
    <n v="98"/>
    <n v="16.48"/>
    <n v="190.9"/>
    <n v="62"/>
    <n v="8.59"/>
    <x v="145"/>
    <x v="12"/>
    <x v="145"/>
    <x v="0"/>
    <x v="0"/>
  </r>
  <r>
    <s v="ND"/>
    <x v="35"/>
    <s v="area_code_415"/>
    <x v="0"/>
    <x v="1"/>
    <n v="0"/>
    <n v="197.8"/>
    <n v="122"/>
    <n v="33.630000000000003"/>
    <n v="208.2"/>
    <n v="147"/>
    <n v="17.7"/>
    <n v="106.3"/>
    <n v="115"/>
    <n v="4.78"/>
    <x v="127"/>
    <x v="4"/>
    <x v="127"/>
    <x v="0"/>
    <x v="0"/>
  </r>
  <r>
    <s v="TX"/>
    <x v="85"/>
    <s v="area_code_415"/>
    <x v="0"/>
    <x v="1"/>
    <n v="0"/>
    <n v="211.1"/>
    <n v="112"/>
    <n v="35.89"/>
    <n v="227.8"/>
    <n v="113"/>
    <n v="19.36"/>
    <n v="179.6"/>
    <n v="110"/>
    <n v="8.08"/>
    <x v="68"/>
    <x v="5"/>
    <x v="68"/>
    <x v="1"/>
    <x v="0"/>
  </r>
  <r>
    <s v="WA"/>
    <x v="105"/>
    <s v="area_code_510"/>
    <x v="0"/>
    <x v="1"/>
    <n v="0"/>
    <n v="202.6"/>
    <n v="139"/>
    <n v="34.44"/>
    <n v="210.7"/>
    <n v="123"/>
    <n v="17.91"/>
    <n v="81.099999999999994"/>
    <n v="86"/>
    <n v="3.65"/>
    <x v="52"/>
    <x v="10"/>
    <x v="52"/>
    <x v="0"/>
    <x v="0"/>
  </r>
  <r>
    <s v="NM"/>
    <x v="1"/>
    <s v="area_code_408"/>
    <x v="1"/>
    <x v="1"/>
    <n v="0"/>
    <n v="312.39999999999998"/>
    <n v="110"/>
    <n v="53.11"/>
    <n v="231.1"/>
    <n v="73"/>
    <n v="19.64"/>
    <n v="120.1"/>
    <n v="78"/>
    <n v="5.4"/>
    <x v="15"/>
    <x v="5"/>
    <x v="15"/>
    <x v="0"/>
    <x v="1"/>
  </r>
  <r>
    <s v="DC"/>
    <x v="59"/>
    <s v="area_code_510"/>
    <x v="0"/>
    <x v="0"/>
    <n v="41"/>
    <n v="184.8"/>
    <n v="76"/>
    <n v="31.42"/>
    <n v="160.6"/>
    <n v="86"/>
    <n v="13.65"/>
    <n v="162"/>
    <n v="131"/>
    <n v="7.29"/>
    <x v="52"/>
    <x v="3"/>
    <x v="52"/>
    <x v="2"/>
    <x v="0"/>
  </r>
  <r>
    <s v="OK"/>
    <x v="144"/>
    <s v="area_code_415"/>
    <x v="0"/>
    <x v="1"/>
    <n v="0"/>
    <n v="123.8"/>
    <n v="130"/>
    <n v="21.05"/>
    <n v="226.5"/>
    <n v="91"/>
    <n v="19.25"/>
    <n v="213.9"/>
    <n v="96"/>
    <n v="9.6300000000000008"/>
    <x v="82"/>
    <x v="2"/>
    <x v="82"/>
    <x v="2"/>
    <x v="0"/>
  </r>
  <r>
    <s v="WY"/>
    <x v="75"/>
    <s v="area_code_415"/>
    <x v="0"/>
    <x v="1"/>
    <n v="0"/>
    <n v="34.5"/>
    <n v="85"/>
    <n v="5.87"/>
    <n v="192.3"/>
    <n v="80"/>
    <n v="16.350000000000001"/>
    <n v="256.3"/>
    <n v="71"/>
    <n v="11.53"/>
    <x v="57"/>
    <x v="2"/>
    <x v="57"/>
    <x v="1"/>
    <x v="0"/>
  </r>
  <r>
    <s v="MD"/>
    <x v="152"/>
    <s v="area_code_415"/>
    <x v="1"/>
    <x v="0"/>
    <n v="31"/>
    <n v="140.6"/>
    <n v="114"/>
    <n v="23.9"/>
    <n v="264.60000000000002"/>
    <n v="44"/>
    <n v="22.49"/>
    <n v="238.7"/>
    <n v="121"/>
    <n v="10.74"/>
    <x v="84"/>
    <x v="4"/>
    <x v="84"/>
    <x v="2"/>
    <x v="0"/>
  </r>
  <r>
    <s v="MO"/>
    <x v="49"/>
    <s v="area_code_510"/>
    <x v="0"/>
    <x v="1"/>
    <n v="0"/>
    <n v="150.80000000000001"/>
    <n v="105"/>
    <n v="25.64"/>
    <n v="157.1"/>
    <n v="85"/>
    <n v="13.35"/>
    <n v="210"/>
    <n v="102"/>
    <n v="9.4499999999999993"/>
    <x v="85"/>
    <x v="0"/>
    <x v="85"/>
    <x v="1"/>
    <x v="0"/>
  </r>
  <r>
    <s v="NC"/>
    <x v="73"/>
    <s v="area_code_408"/>
    <x v="0"/>
    <x v="1"/>
    <n v="0"/>
    <n v="192.1"/>
    <n v="87"/>
    <n v="32.659999999999997"/>
    <n v="193"/>
    <n v="122"/>
    <n v="16.41"/>
    <n v="133.4"/>
    <n v="79"/>
    <n v="6"/>
    <x v="85"/>
    <x v="5"/>
    <x v="85"/>
    <x v="0"/>
    <x v="0"/>
  </r>
  <r>
    <s v="WV"/>
    <x v="25"/>
    <s v="area_code_510"/>
    <x v="0"/>
    <x v="1"/>
    <n v="0"/>
    <n v="175.7"/>
    <n v="69"/>
    <n v="29.87"/>
    <n v="154.80000000000001"/>
    <n v="98"/>
    <n v="13.16"/>
    <n v="208.2"/>
    <n v="68"/>
    <n v="9.3699999999999992"/>
    <x v="17"/>
    <x v="5"/>
    <x v="17"/>
    <x v="1"/>
    <x v="0"/>
  </r>
  <r>
    <s v="GA"/>
    <x v="66"/>
    <s v="area_code_408"/>
    <x v="0"/>
    <x v="1"/>
    <n v="0"/>
    <n v="93.3"/>
    <n v="109"/>
    <n v="15.86"/>
    <n v="214.4"/>
    <n v="104"/>
    <n v="18.22"/>
    <n v="176.7"/>
    <n v="104"/>
    <n v="7.95"/>
    <x v="47"/>
    <x v="5"/>
    <x v="47"/>
    <x v="1"/>
    <x v="0"/>
  </r>
  <r>
    <s v="OK"/>
    <x v="6"/>
    <s v="area_code_415"/>
    <x v="0"/>
    <x v="1"/>
    <n v="0"/>
    <n v="212.1"/>
    <n v="133"/>
    <n v="36.06"/>
    <n v="276.60000000000002"/>
    <n v="94"/>
    <n v="23.51"/>
    <n v="195.5"/>
    <n v="124"/>
    <n v="8.8000000000000007"/>
    <x v="17"/>
    <x v="0"/>
    <x v="17"/>
    <x v="2"/>
    <x v="0"/>
  </r>
  <r>
    <s v="FL"/>
    <x v="100"/>
    <s v="area_code_408"/>
    <x v="0"/>
    <x v="1"/>
    <n v="0"/>
    <n v="43.3"/>
    <n v="118"/>
    <n v="7.36"/>
    <n v="178.5"/>
    <n v="113"/>
    <n v="15.17"/>
    <n v="185.9"/>
    <n v="120"/>
    <n v="8.3699999999999992"/>
    <x v="15"/>
    <x v="4"/>
    <x v="15"/>
    <x v="1"/>
    <x v="0"/>
  </r>
  <r>
    <s v="MD"/>
    <x v="139"/>
    <s v="area_code_415"/>
    <x v="0"/>
    <x v="1"/>
    <n v="0"/>
    <n v="173.1"/>
    <n v="126"/>
    <n v="29.43"/>
    <n v="200"/>
    <n v="98"/>
    <n v="17"/>
    <n v="231"/>
    <n v="103"/>
    <n v="10.4"/>
    <x v="81"/>
    <x v="8"/>
    <x v="81"/>
    <x v="0"/>
    <x v="0"/>
  </r>
  <r>
    <s v="HI"/>
    <x v="59"/>
    <s v="area_code_510"/>
    <x v="0"/>
    <x v="0"/>
    <n v="28"/>
    <n v="115.4"/>
    <n v="96"/>
    <n v="19.62"/>
    <n v="185.4"/>
    <n v="94"/>
    <n v="15.76"/>
    <n v="209.3"/>
    <n v="69"/>
    <n v="9.42"/>
    <x v="167"/>
    <x v="4"/>
    <x v="167"/>
    <x v="1"/>
    <x v="0"/>
  </r>
  <r>
    <s v="FL"/>
    <x v="40"/>
    <s v="area_code_408"/>
    <x v="0"/>
    <x v="1"/>
    <n v="0"/>
    <n v="190.9"/>
    <n v="92"/>
    <n v="32.450000000000003"/>
    <n v="208.7"/>
    <n v="132"/>
    <n v="17.739999999999998"/>
    <n v="120.8"/>
    <n v="98"/>
    <n v="5.44"/>
    <x v="37"/>
    <x v="3"/>
    <x v="37"/>
    <x v="0"/>
    <x v="0"/>
  </r>
  <r>
    <s v="ND"/>
    <x v="40"/>
    <s v="area_code_415"/>
    <x v="0"/>
    <x v="1"/>
    <n v="0"/>
    <n v="234.1"/>
    <n v="105"/>
    <n v="39.799999999999997"/>
    <n v="237.4"/>
    <n v="88"/>
    <n v="20.18"/>
    <n v="240.6"/>
    <n v="85"/>
    <n v="10.83"/>
    <x v="37"/>
    <x v="4"/>
    <x v="37"/>
    <x v="0"/>
    <x v="0"/>
  </r>
  <r>
    <s v="LA"/>
    <x v="39"/>
    <s v="area_code_408"/>
    <x v="0"/>
    <x v="1"/>
    <n v="0"/>
    <n v="102.1"/>
    <n v="74"/>
    <n v="17.36"/>
    <n v="93.7"/>
    <n v="88"/>
    <n v="7.96"/>
    <n v="236.2"/>
    <n v="125"/>
    <n v="10.63"/>
    <x v="100"/>
    <x v="5"/>
    <x v="100"/>
    <x v="0"/>
    <x v="0"/>
  </r>
  <r>
    <s v="AR"/>
    <x v="67"/>
    <s v="area_code_415"/>
    <x v="0"/>
    <x v="1"/>
    <n v="0"/>
    <n v="131.9"/>
    <n v="91"/>
    <n v="22.42"/>
    <n v="203.8"/>
    <n v="92"/>
    <n v="17.32"/>
    <n v="205.6"/>
    <n v="121"/>
    <n v="9.25"/>
    <x v="36"/>
    <x v="0"/>
    <x v="36"/>
    <x v="0"/>
    <x v="0"/>
  </r>
  <r>
    <s v="KY"/>
    <x v="79"/>
    <s v="area_code_408"/>
    <x v="0"/>
    <x v="1"/>
    <n v="0"/>
    <n v="135"/>
    <n v="122"/>
    <n v="22.95"/>
    <n v="206.3"/>
    <n v="88"/>
    <n v="17.54"/>
    <n v="210.4"/>
    <n v="90"/>
    <n v="9.4700000000000006"/>
    <x v="165"/>
    <x v="4"/>
    <x v="165"/>
    <x v="1"/>
    <x v="0"/>
  </r>
  <r>
    <s v="HI"/>
    <x v="101"/>
    <s v="area_code_510"/>
    <x v="1"/>
    <x v="1"/>
    <n v="0"/>
    <n v="145"/>
    <n v="80"/>
    <n v="24.65"/>
    <n v="228.4"/>
    <n v="82"/>
    <n v="19.41"/>
    <n v="169.4"/>
    <n v="109"/>
    <n v="7.62"/>
    <x v="56"/>
    <x v="1"/>
    <x v="56"/>
    <x v="1"/>
    <x v="0"/>
  </r>
  <r>
    <s v="KS"/>
    <x v="65"/>
    <s v="area_code_408"/>
    <x v="0"/>
    <x v="1"/>
    <n v="0"/>
    <n v="170.3"/>
    <n v="48"/>
    <n v="28.95"/>
    <n v="187.7"/>
    <n v="146"/>
    <n v="15.95"/>
    <n v="204"/>
    <n v="84"/>
    <n v="9.18"/>
    <x v="137"/>
    <x v="4"/>
    <x v="137"/>
    <x v="3"/>
    <x v="0"/>
  </r>
  <r>
    <s v="TX"/>
    <x v="36"/>
    <s v="area_code_415"/>
    <x v="0"/>
    <x v="1"/>
    <n v="0"/>
    <n v="188.7"/>
    <n v="99"/>
    <n v="32.08"/>
    <n v="210.4"/>
    <n v="89"/>
    <n v="17.88"/>
    <n v="191.4"/>
    <n v="103"/>
    <n v="8.61"/>
    <x v="81"/>
    <x v="5"/>
    <x v="81"/>
    <x v="0"/>
    <x v="0"/>
  </r>
  <r>
    <s v="NC"/>
    <x v="72"/>
    <s v="area_code_510"/>
    <x v="0"/>
    <x v="1"/>
    <n v="0"/>
    <n v="7.2"/>
    <n v="97"/>
    <n v="1.22"/>
    <n v="221.8"/>
    <n v="78"/>
    <n v="18.850000000000001"/>
    <n v="174.5"/>
    <n v="94"/>
    <n v="7.85"/>
    <x v="42"/>
    <x v="4"/>
    <x v="42"/>
    <x v="0"/>
    <x v="0"/>
  </r>
  <r>
    <s v="TX"/>
    <x v="112"/>
    <s v="area_code_408"/>
    <x v="0"/>
    <x v="1"/>
    <n v="0"/>
    <n v="181.1"/>
    <n v="124"/>
    <n v="30.79"/>
    <n v="229.5"/>
    <n v="105"/>
    <n v="19.510000000000002"/>
    <n v="122.2"/>
    <n v="91"/>
    <n v="5.5"/>
    <x v="113"/>
    <x v="3"/>
    <x v="113"/>
    <x v="5"/>
    <x v="0"/>
  </r>
  <r>
    <s v="LA"/>
    <x v="1"/>
    <s v="area_code_408"/>
    <x v="0"/>
    <x v="1"/>
    <n v="0"/>
    <n v="151.80000000000001"/>
    <n v="90"/>
    <n v="25.81"/>
    <n v="229.6"/>
    <n v="68"/>
    <n v="19.52"/>
    <n v="171.8"/>
    <n v="122"/>
    <n v="7.73"/>
    <x v="81"/>
    <x v="1"/>
    <x v="81"/>
    <x v="2"/>
    <x v="0"/>
  </r>
  <r>
    <s v="TN"/>
    <x v="9"/>
    <s v="area_code_510"/>
    <x v="0"/>
    <x v="1"/>
    <n v="0"/>
    <n v="159.4"/>
    <n v="86"/>
    <n v="27.1"/>
    <n v="210"/>
    <n v="122"/>
    <n v="17.850000000000001"/>
    <n v="172.4"/>
    <n v="99"/>
    <n v="7.76"/>
    <x v="31"/>
    <x v="5"/>
    <x v="31"/>
    <x v="0"/>
    <x v="0"/>
  </r>
  <r>
    <s v="NC"/>
    <x v="98"/>
    <s v="area_code_510"/>
    <x v="0"/>
    <x v="0"/>
    <n v="31"/>
    <n v="226.6"/>
    <n v="99"/>
    <n v="38.520000000000003"/>
    <n v="164.9"/>
    <n v="136"/>
    <n v="14.02"/>
    <n v="189.3"/>
    <n v="120"/>
    <n v="8.52"/>
    <x v="39"/>
    <x v="1"/>
    <x v="39"/>
    <x v="3"/>
    <x v="0"/>
  </r>
  <r>
    <s v="OH"/>
    <x v="41"/>
    <s v="area_code_415"/>
    <x v="0"/>
    <x v="1"/>
    <n v="0"/>
    <n v="214.7"/>
    <n v="115"/>
    <n v="36.5"/>
    <n v="260.60000000000002"/>
    <n v="94"/>
    <n v="22.15"/>
    <n v="266.3"/>
    <n v="123"/>
    <n v="11.98"/>
    <x v="33"/>
    <x v="3"/>
    <x v="33"/>
    <x v="3"/>
    <x v="0"/>
  </r>
  <r>
    <s v="AR"/>
    <x v="76"/>
    <s v="area_code_415"/>
    <x v="0"/>
    <x v="0"/>
    <n v="27"/>
    <n v="157.6"/>
    <n v="107"/>
    <n v="26.79"/>
    <n v="280.60000000000002"/>
    <n v="49"/>
    <n v="23.85"/>
    <n v="75.099999999999994"/>
    <n v="77"/>
    <n v="3.38"/>
    <x v="40"/>
    <x v="4"/>
    <x v="40"/>
    <x v="0"/>
    <x v="0"/>
  </r>
  <r>
    <s v="WA"/>
    <x v="62"/>
    <s v="area_code_510"/>
    <x v="0"/>
    <x v="1"/>
    <n v="0"/>
    <n v="157"/>
    <n v="101"/>
    <n v="26.69"/>
    <n v="208.8"/>
    <n v="127"/>
    <n v="17.75"/>
    <n v="113.3"/>
    <n v="109"/>
    <n v="5.0999999999999996"/>
    <x v="76"/>
    <x v="5"/>
    <x v="76"/>
    <x v="2"/>
    <x v="0"/>
  </r>
  <r>
    <s v="MN"/>
    <x v="50"/>
    <s v="area_code_408"/>
    <x v="0"/>
    <x v="1"/>
    <n v="0"/>
    <n v="170"/>
    <n v="115"/>
    <n v="28.9"/>
    <n v="162.69999999999999"/>
    <n v="138"/>
    <n v="13.83"/>
    <n v="267.2"/>
    <n v="77"/>
    <n v="12.02"/>
    <x v="24"/>
    <x v="5"/>
    <x v="24"/>
    <x v="1"/>
    <x v="0"/>
  </r>
  <r>
    <s v="ND"/>
    <x v="141"/>
    <s v="area_code_510"/>
    <x v="0"/>
    <x v="1"/>
    <n v="0"/>
    <n v="244.7"/>
    <n v="115"/>
    <n v="41.6"/>
    <n v="258.60000000000002"/>
    <n v="101"/>
    <n v="21.98"/>
    <n v="231.3"/>
    <n v="112"/>
    <n v="10.41"/>
    <x v="4"/>
    <x v="3"/>
    <x v="4"/>
    <x v="0"/>
    <x v="1"/>
  </r>
  <r>
    <s v="AZ"/>
    <x v="35"/>
    <s v="area_code_510"/>
    <x v="0"/>
    <x v="1"/>
    <n v="0"/>
    <n v="252.6"/>
    <n v="89"/>
    <n v="42.94"/>
    <n v="340.3"/>
    <n v="91"/>
    <n v="28.93"/>
    <n v="256.5"/>
    <n v="67"/>
    <n v="11.54"/>
    <x v="82"/>
    <x v="1"/>
    <x v="82"/>
    <x v="0"/>
    <x v="1"/>
  </r>
  <r>
    <s v="MT"/>
    <x v="82"/>
    <s v="area_code_415"/>
    <x v="0"/>
    <x v="1"/>
    <n v="0"/>
    <n v="188.3"/>
    <n v="70"/>
    <n v="32.01"/>
    <n v="243.8"/>
    <n v="88"/>
    <n v="20.72"/>
    <n v="213.7"/>
    <n v="79"/>
    <n v="9.6199999999999992"/>
    <x v="19"/>
    <x v="3"/>
    <x v="19"/>
    <x v="1"/>
    <x v="0"/>
  </r>
  <r>
    <s v="WV"/>
    <x v="15"/>
    <s v="area_code_408"/>
    <x v="0"/>
    <x v="1"/>
    <n v="0"/>
    <n v="177.9"/>
    <n v="89"/>
    <n v="30.24"/>
    <n v="131.19999999999999"/>
    <n v="82"/>
    <n v="11.15"/>
    <n v="186.2"/>
    <n v="89"/>
    <n v="8.3800000000000008"/>
    <x v="73"/>
    <x v="3"/>
    <x v="73"/>
    <x v="3"/>
    <x v="0"/>
  </r>
  <r>
    <s v="NC"/>
    <x v="3"/>
    <s v="area_code_408"/>
    <x v="0"/>
    <x v="1"/>
    <n v="0"/>
    <n v="170.7"/>
    <n v="101"/>
    <n v="29.02"/>
    <n v="193.1"/>
    <n v="126"/>
    <n v="16.41"/>
    <n v="129.1"/>
    <n v="104"/>
    <n v="5.81"/>
    <x v="72"/>
    <x v="2"/>
    <x v="72"/>
    <x v="0"/>
    <x v="0"/>
  </r>
  <r>
    <s v="HI"/>
    <x v="54"/>
    <s v="area_code_408"/>
    <x v="0"/>
    <x v="0"/>
    <n v="40"/>
    <n v="235.7"/>
    <n v="127"/>
    <n v="40.07"/>
    <n v="223"/>
    <n v="126"/>
    <n v="18.96"/>
    <n v="297.5"/>
    <n v="116"/>
    <n v="13.39"/>
    <x v="79"/>
    <x v="1"/>
    <x v="79"/>
    <x v="2"/>
    <x v="0"/>
  </r>
  <r>
    <s v="VT"/>
    <x v="112"/>
    <s v="area_code_415"/>
    <x v="0"/>
    <x v="0"/>
    <n v="34"/>
    <n v="129.4"/>
    <n v="102"/>
    <n v="22"/>
    <n v="267.10000000000002"/>
    <n v="104"/>
    <n v="22.7"/>
    <n v="154.80000000000001"/>
    <n v="100"/>
    <n v="6.97"/>
    <x v="38"/>
    <x v="18"/>
    <x v="3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AD1E7-8AC2-4614-BA71-FD228D732197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ational plan ?" colHeaderCaption="Churn">
  <location ref="P39:S46" firstHeaderRow="1" firstDataRow="2" firstDataCol="1" rowPageCount="1" colPageCount="1"/>
  <pivotFields count="20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8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3">
    <i>
      <x/>
    </i>
    <i>
      <x v="1"/>
    </i>
    <i t="grand">
      <x/>
    </i>
  </colItems>
  <pageFields count="1">
    <pageField fld="3" item="1" hier="-1"/>
  </pageFields>
  <dataFields count="1">
    <dataField name="Count of state" fld="0" subtotal="count" baseField="0" baseItem="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8F70E-C1B7-4D33-9368-F7D861445F3F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ational charrges" colHeaderCaption="Churn">
  <location ref="D37:G45" firstHeaderRow="1" firstDataRow="2" firstDataCol="1"/>
  <pivotFields count="20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8ED9C-F161-427C-B6F0-4C866B422A43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otal service calls made" colHeaderCaption="Churn">
  <location ref="P21:S28" firstHeaderRow="1" firstDataRow="2" firstDataCol="1"/>
  <pivotFields count="20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8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8F95C-E93B-4E10-AB6F-41D9BD9EC6B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count age" colHeaderCaption="Churn">
  <location ref="D21:G28" firstHeaderRow="1" firstDataRow="2" firstDataCol="1"/>
  <pivotFields count="20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35A39-467B-466C-90EF-5BA2515CF2D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mail Plan" colHeaderCaption="Churn">
  <location ref="P9:S13" firstHeaderRow="1" firstDataRow="2" firstDataCol="1"/>
  <pivotFields count="20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D976D-450B-40AE-A614-C423B339677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nternational Plan" colHeaderCaption="Churn">
  <location ref="D9:G13" firstHeaderRow="1" firstDataRow="2" firstDataCol="1"/>
  <pivotFields count="20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7A85E-F08D-4187-B800-2FEA793B0137}" name="Table1" displayName="Table1" ref="A1:T4251" totalsRowShown="0">
  <autoFilter ref="A1:T4251" xr:uid="{82D7A85E-F08D-4187-B800-2FEA793B0137}"/>
  <tableColumns count="20">
    <tableColumn id="1" xr3:uid="{F0414545-C775-49A9-BBF5-9FE68D94765F}" name="state"/>
    <tableColumn id="2" xr3:uid="{23B471BD-B6A8-4AFB-B1B8-7020DBFC3CED}" name="account_length"/>
    <tableColumn id="3" xr3:uid="{4BD096D1-04D1-4D2A-AD74-9C87B6460AB7}" name="area_code"/>
    <tableColumn id="4" xr3:uid="{4CCF98AE-4E38-4CA8-8565-4619D696FD18}" name="international_plan"/>
    <tableColumn id="5" xr3:uid="{1F083449-BF41-42BC-B73A-65A5E8E57823}" name="voice_mail_plan"/>
    <tableColumn id="6" xr3:uid="{2E5FF197-63D3-422B-BDD4-E1AE815F448B}" name="number_vmail_messages"/>
    <tableColumn id="7" xr3:uid="{FD9A3F51-0BCA-475E-975D-56013A7D3316}" name="total_day_minutes"/>
    <tableColumn id="8" xr3:uid="{9014317D-C09E-4143-B01A-1FEA805B8AC0}" name="total_day_calls"/>
    <tableColumn id="9" xr3:uid="{6171D4DC-623A-4FA9-9A7B-02DAE7636E5E}" name="total_day_charge"/>
    <tableColumn id="10" xr3:uid="{8EFAB86D-C04A-4638-918D-DB608DDB459C}" name="total_eve_minutes"/>
    <tableColumn id="11" xr3:uid="{6886A6B7-A36D-422A-AD47-A0EA567B2C17}" name="total_eve_calls"/>
    <tableColumn id="12" xr3:uid="{0C41C745-3F30-4B22-A6E2-243555339511}" name="total_eve_charge"/>
    <tableColumn id="13" xr3:uid="{F4515244-749C-411A-A178-EB88D4CBC8B0}" name="total_night_minutes"/>
    <tableColumn id="14" xr3:uid="{0DEEBBB4-A01E-453A-A2C8-BEB3AD4ECC9A}" name="total_night_calls"/>
    <tableColumn id="15" xr3:uid="{CC8844E8-FA45-461D-B979-03C9A003CB62}" name="total_night_charge"/>
    <tableColumn id="16" xr3:uid="{57487EB8-0F84-42D8-93BC-CC8D6A910098}" name="total_intl_minutes"/>
    <tableColumn id="17" xr3:uid="{8121D386-497A-4213-AD9D-02335DADDA8B}" name="total_intl_calls"/>
    <tableColumn id="18" xr3:uid="{312B44B3-3739-4F8D-862C-F9BCDA5D8580}" name="total_intl_charge"/>
    <tableColumn id="19" xr3:uid="{3306F89F-3032-40F5-BBB6-6467B7037082}" name="number_customer_service_calls"/>
    <tableColumn id="20" xr3:uid="{6B49EA44-865A-4E80-8B08-0E98D0888C96}" name="chur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486F56-7FD5-4DE8-9285-47AB1DBA9C87}" name="Table3" displayName="Table3" ref="J54:K56" totalsRowShown="0" headerRowDxfId="3">
  <autoFilter ref="J54:K56" xr:uid="{59486F56-7FD5-4DE8-9285-47AB1DBA9C87}"/>
  <tableColumns count="2">
    <tableColumn id="1" xr3:uid="{FF39110C-191C-4249-B865-8CB44C5D01BA}" name="International Plan" dataDxfId="2"/>
    <tableColumn id="2" xr3:uid="{450B5B1F-9D45-4401-8FE5-E4E4AEE248BA}" name="Churn Rate%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F7FF65-5AC5-4ABC-915F-8D5949502F33}" name="Table4" displayName="Table4" ref="O54:P57" totalsRowShown="0" headerRowDxfId="1">
  <autoFilter ref="O54:P57" xr:uid="{4FF7FF65-5AC5-4ABC-915F-8D5949502F33}"/>
  <tableColumns count="2">
    <tableColumn id="1" xr3:uid="{8F2B0390-FBF3-4728-8F6B-6D88DA9D1D4B}" name="No of Service calls" dataDxfId="0"/>
    <tableColumn id="2" xr3:uid="{22F1BCB2-877F-43FE-B6FE-3C85CC4DB337}" name="Churn Rate %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51"/>
  <sheetViews>
    <sheetView topLeftCell="J1" workbookViewId="0">
      <selection activeCell="W8" sqref="W8:W21"/>
    </sheetView>
  </sheetViews>
  <sheetFormatPr defaultRowHeight="15" x14ac:dyDescent="0.25"/>
  <cols>
    <col min="2" max="2" width="16.7109375" customWidth="1"/>
    <col min="3" max="3" width="12.28515625" customWidth="1"/>
    <col min="4" max="4" width="19.5703125" customWidth="1"/>
    <col min="5" max="5" width="17.5703125" customWidth="1"/>
    <col min="6" max="6" width="25.5703125" customWidth="1"/>
    <col min="7" max="7" width="19.7109375" customWidth="1"/>
    <col min="8" max="8" width="16.28515625" customWidth="1"/>
    <col min="9" max="9" width="18.28515625" customWidth="1"/>
    <col min="10" max="10" width="19.85546875" customWidth="1"/>
    <col min="11" max="11" width="16.42578125" customWidth="1"/>
    <col min="12" max="12" width="18.42578125" customWidth="1"/>
    <col min="13" max="13" width="21.140625" customWidth="1"/>
    <col min="14" max="14" width="17.7109375" customWidth="1"/>
    <col min="15" max="15" width="19.7109375" customWidth="1"/>
    <col min="16" max="16" width="19.5703125" customWidth="1"/>
    <col min="17" max="17" width="16.140625" customWidth="1"/>
    <col min="18" max="18" width="18.140625" customWidth="1"/>
    <col min="19" max="19" width="31.5703125" customWidth="1"/>
  </cols>
  <sheetData>
    <row r="1" spans="1:20" x14ac:dyDescent="0.25">
      <c r="A1" t="s">
        <v>0</v>
      </c>
      <c r="B1" s="3" t="s">
        <v>1</v>
      </c>
      <c r="C1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t="s">
        <v>16</v>
      </c>
      <c r="R1" s="5" t="s">
        <v>17</v>
      </c>
      <c r="S1" s="5" t="s">
        <v>18</v>
      </c>
      <c r="T1" t="s">
        <v>19</v>
      </c>
    </row>
    <row r="2" spans="1:20" x14ac:dyDescent="0.2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2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2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2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2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2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2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2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2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2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2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2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2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2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2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2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2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2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2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2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2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2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2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2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2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2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2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2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2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2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2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2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2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2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2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2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2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2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2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2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2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2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2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2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2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2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2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2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2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2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2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2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2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2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2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2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2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2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2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2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2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2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2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2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2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2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2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2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2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2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2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2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2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2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2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2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2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2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2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2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2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2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2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2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2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2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2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2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2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2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2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2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2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2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2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2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2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2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2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2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2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2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2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2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2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2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2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2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2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2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2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2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2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2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2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2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2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2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2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2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2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2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2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2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2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2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2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2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2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2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2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2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2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2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2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2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2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2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2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2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2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2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2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2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2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2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2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2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2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2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2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2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2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2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2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2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2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2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2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2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2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2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2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2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2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2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2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2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2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2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2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2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2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2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2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2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2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2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2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2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2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2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2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2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2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2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2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2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2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2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2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2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2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2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2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2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2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2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2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2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2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2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2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2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2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2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2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2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2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2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2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2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2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2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2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2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2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2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2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2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2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2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2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2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2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2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2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2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2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2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2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2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2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2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2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2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2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2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2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2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2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2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2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2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2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2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2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2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2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2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2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2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2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2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2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2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2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2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2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2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2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2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2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2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2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2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2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2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2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2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2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2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2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2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2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2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2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2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2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2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2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2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2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2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2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2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2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2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2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2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2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2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2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2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2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2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2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2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2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2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2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2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2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2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2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2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2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2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2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2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2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2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2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2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2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2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2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2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2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2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2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2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2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2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2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2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2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2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2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2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2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2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2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2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2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2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2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2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2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2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2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2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2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2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2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2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2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2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2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2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2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2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2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2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2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2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2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2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2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2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2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2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2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2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2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2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2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2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2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2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2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2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2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2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2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2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2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2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2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2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2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2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2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2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2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2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2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2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2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2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2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2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2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2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2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2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2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2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2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2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2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2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2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2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2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2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2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2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2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2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2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2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2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2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2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2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2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2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2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2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2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2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2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2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2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2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2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2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2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2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2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2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2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2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2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2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2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2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2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2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2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2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2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2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2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2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2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2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2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2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2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2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2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2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2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2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2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2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2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2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2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2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2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2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2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2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2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2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2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2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2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2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2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2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2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2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2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2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2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2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2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2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2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2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2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2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2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2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2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2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2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2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2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2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2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2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2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2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2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2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2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2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2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2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2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2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2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2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2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2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2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2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2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2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2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2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2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2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2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2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2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2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2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2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2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2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2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2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2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2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2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2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2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2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2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2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2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2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2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2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2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2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2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2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2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2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2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2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2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2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2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2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2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2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2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2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2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2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2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2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2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2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2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2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2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2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2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2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2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2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2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2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2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2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2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2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2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2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2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2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2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2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2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2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2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2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2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2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2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2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2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2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2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2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2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2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2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2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2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2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2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2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2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2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2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2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2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2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2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2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2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2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2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2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2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2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2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2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2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2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2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2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2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2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2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2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2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2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2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2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2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2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2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2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2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2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2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2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2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2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2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2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2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2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2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2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2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2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2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2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2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2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2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2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2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2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2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2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2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2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2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2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2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2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2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2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2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2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2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2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2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2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2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2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2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2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2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2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2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2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2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2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2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2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2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2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2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2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2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2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2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2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2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2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2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2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2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2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2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2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2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2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2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2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2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2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2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2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2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2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2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2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2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2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2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2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2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2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2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2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2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2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2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2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2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2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2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2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2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2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2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2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2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2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2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2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2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2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2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2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2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2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2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2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2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2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2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2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2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2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2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2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2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2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2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2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2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2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2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2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2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2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2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2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2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2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2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2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2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2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2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2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2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2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2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2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2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2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2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2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2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2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2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2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2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2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2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2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2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2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2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2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2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2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2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2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2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2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2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2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2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2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2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2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2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2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2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2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2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2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2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2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2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2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2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2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2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2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2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2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2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2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2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2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2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2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2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2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2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2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2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2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2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2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2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2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2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2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2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2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2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2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2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2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2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2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2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2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2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2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2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2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2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2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2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2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2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2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2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2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2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2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2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2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2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2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2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2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2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2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2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2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2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2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2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2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2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2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2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2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2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2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2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2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2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2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2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2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2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2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2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2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2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2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2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2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2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2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2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2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2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2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2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2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2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2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2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2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2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2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2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2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2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2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2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2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2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2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2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2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2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2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2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2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2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2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2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2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2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2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2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2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2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2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2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2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2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2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2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2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2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2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2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2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2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2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2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2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2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2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2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2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2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2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2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2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2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2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2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2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2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2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2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2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2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2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2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2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2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2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2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2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2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2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2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2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2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2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2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2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2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2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2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2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2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2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2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2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2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2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2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2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2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2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2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2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2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2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2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2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2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2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2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2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2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2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2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2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2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2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2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2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2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2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2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2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2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2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2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2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2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2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2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2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2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2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2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2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2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2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2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2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2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2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2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2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2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2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2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2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2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2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2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2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2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2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2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2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2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2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2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2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2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2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2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2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2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2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2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2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2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2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2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2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2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2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2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2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2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2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2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2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2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2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2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2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2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2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2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2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2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2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2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2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2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2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2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2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2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2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2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2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2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2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2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2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2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2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2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2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2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2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2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2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2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2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2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2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2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2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2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2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2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2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2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2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2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2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2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2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2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2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2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2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2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2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2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2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2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2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2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2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2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2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2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2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2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2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2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2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2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2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2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2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2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2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2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2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2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2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2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2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2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2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2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2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2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2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2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2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2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2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2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2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2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2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2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2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2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2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2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2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2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2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2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2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2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2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2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2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2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2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2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2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2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2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2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2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2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2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2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2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2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2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2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2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2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2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2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2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2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2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2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2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2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2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2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2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2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2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2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2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2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2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2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2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2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2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2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2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2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2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2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2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2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2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2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2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2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2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2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2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2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2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2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2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2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2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2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2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2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2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2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2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2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2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2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2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2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2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2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2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2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2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2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2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2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2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2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2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2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2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2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2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2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2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2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2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2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2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2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2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2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2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2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2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2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2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2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2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2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2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2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2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2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2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2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2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2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2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2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2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2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2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2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2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2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2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2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2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2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2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2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2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2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2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2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2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2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2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2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2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2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2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2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2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2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2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2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2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2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2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2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2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2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2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2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2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2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2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2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2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2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2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2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2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2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2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2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2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2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2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2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2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2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2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2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2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2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2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2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2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2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2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2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2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2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2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2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2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2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2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2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2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2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2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2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2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2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2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2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2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2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2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2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2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2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2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2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2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2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2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2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2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2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2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2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2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2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2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2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2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2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2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2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2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2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2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2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2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2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2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2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2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2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2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2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2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2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2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2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2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2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2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2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2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2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2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2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2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2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2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2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2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2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2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2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2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2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2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2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2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2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2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2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2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2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2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2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2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2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2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2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2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2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2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2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2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2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2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2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2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2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2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2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2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2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2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2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2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2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2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2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2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2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2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2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2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2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2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2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2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2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2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2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2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2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2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2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2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2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2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2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2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2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2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2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2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2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2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2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2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2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2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2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2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2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2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2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2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2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2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2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2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2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2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2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2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2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2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2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2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2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2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2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2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2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2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2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2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2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2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2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2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2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2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2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2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2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2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2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2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2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2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2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2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2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2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2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2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2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2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2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2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2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2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2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2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2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2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2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2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2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2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2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2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2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2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2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2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2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2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2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2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2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2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2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2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2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2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2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2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2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2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2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2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2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2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2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2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2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2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2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2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2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2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2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2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2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2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2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2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2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2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2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2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2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2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2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2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2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2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2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2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2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2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2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2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2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2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2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2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2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2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2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2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2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2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2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2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2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2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2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2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2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2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2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2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2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2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2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2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2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2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2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2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2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2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2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2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2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2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2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2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2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2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2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2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2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2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2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2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2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2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2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2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2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2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2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2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2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2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2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2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2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2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2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2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2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2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2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2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2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2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2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2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2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2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2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2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2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2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2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2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2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2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2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2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2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2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2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2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2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2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2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2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2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2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2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2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2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2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2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2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2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2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2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2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2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2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2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2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2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2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2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2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2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2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2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2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2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2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2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2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2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2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2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2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2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2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2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2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2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2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2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2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2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2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2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2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2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2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2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2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2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2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2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2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2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2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2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2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2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2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2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2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2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2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2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2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2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2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2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2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2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2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2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2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2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2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2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2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2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2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2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2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2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2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2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2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2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2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2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2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2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2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2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2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2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2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2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2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2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2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2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2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2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2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2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2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2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2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2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2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2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2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2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2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2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2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2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2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2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2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2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2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2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2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2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2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2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2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2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2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2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2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2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2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2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2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2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2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2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2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2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2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2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2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2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2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2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2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2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2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2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2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2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2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2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2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2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2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2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2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2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2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2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2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2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2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2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2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2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2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2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2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2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2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2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2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2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2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2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2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2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2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2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2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2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2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2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2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2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2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2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2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2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2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2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2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2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2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2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2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2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2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2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2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2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2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2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2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2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2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2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2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2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2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2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2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2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2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2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2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2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2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2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2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2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2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2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2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2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2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2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2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2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2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2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2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2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2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2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2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2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2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2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2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2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2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2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2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2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2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2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2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2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2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2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2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2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2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2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2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2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2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2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2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2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2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2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2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2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2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2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2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2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2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2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2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2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2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2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2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2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2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2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2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2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2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2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2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2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2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2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2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2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2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2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2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2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2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2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2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2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2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2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2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2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2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2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2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2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2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2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2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2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2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2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2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2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2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2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2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2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2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2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2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2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2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2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2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2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2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2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2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2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2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2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2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2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2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2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2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2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2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2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2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2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2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2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2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2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2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2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2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2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2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2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2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2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2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2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2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2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2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2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2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2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2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2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2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2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2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2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2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2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2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2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2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2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2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2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2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2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2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2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2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2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2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2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2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2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2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2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2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2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2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2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2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2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2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2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2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2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2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2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2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2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2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2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2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2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2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2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2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2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2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2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2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2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2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2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2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2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2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2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2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2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2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2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2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2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2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2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2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2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2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2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2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2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2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2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2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2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2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2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2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2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2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2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2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2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2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2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2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2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2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2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2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2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2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2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2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2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2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2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2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2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2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2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2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2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2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2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2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2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2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2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2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2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2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2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2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2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2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2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2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2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2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2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2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2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2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2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2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2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2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2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2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2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2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2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2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2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2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2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2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2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2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2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2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2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2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2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2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2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2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2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2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2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2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2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2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2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2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2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2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2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2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2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2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2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2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2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2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2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2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2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2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2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2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2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2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2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2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2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2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2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2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2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2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2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2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2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2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2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2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2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2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2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2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2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2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2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2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2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2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2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2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2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2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2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2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2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2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2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2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2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2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2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2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2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2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2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2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2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2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2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2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2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2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2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2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2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2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2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2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2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2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2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2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2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2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2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2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2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2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2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2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2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2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2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2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2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2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2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2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2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2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2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2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2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2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2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2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2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2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2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2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2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2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2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2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2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2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2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2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2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2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2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2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2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2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2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2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2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2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2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2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2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2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2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2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2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2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2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2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2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2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2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2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2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2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2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2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2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2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2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2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2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2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2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2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2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2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2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2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2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2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2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2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2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2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2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2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2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2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2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2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2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2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2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2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2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2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2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2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2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2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2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2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2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2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2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2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2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2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2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2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2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2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2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2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2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2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2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2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2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2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2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2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2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2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2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2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2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2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2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2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2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2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2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2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2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2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2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2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2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2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2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2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2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2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2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2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2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2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2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2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2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2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2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2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2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2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2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2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2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2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2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2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2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2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2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2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2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2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2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2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2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2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2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2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2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2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2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2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2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2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2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2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2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2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2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2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2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2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2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2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2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2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2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2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2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2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2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2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2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2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2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2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2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2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2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2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2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2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2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2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2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2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2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2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2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2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2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2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2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2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2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2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2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2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2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2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2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2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2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2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2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2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2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2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2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2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2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2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2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2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2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2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2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2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2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2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2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2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2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2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2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2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2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2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2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2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2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2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2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2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2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2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2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2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2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2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2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2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2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2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2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2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2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2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2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2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2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2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2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2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2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2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2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2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2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2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2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2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2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2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2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2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2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2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2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2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2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2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2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2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2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2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2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2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2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2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2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2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2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2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2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2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2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2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2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2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2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2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2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2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2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2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2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2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2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2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2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2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2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2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2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2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2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2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2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2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2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2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2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2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2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2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2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2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2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2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2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2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2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2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2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2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2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2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2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2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2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2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2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2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2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2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2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2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2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2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2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2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2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2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2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2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2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2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2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2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2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2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2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2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2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2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2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2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2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2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2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2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2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2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2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2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2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2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2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2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2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2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2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2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2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2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2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2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2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2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2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2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2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2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2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2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2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2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2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2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2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2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2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2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2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2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2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2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2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2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2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2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2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2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2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2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2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2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2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2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2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2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2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2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2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2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2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2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2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2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2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2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2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2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2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2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2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2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2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2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2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2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2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2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2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2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2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2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2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2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2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2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2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2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2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2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2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2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2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2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2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2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2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2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2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2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2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2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2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2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2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2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2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2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2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2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2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2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2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2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2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2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2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2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2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2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2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2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2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2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2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2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2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2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2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2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2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2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2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2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2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2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2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2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2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2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2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2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2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2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2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2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2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2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2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2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2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2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2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2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2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2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2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2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2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2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2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2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2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2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2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2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2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2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2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2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2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2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2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2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2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2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2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2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2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2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2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2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2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2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2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2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2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2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2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2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2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2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2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2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2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2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2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2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2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2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2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2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2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2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2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2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2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2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2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2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2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2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2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2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2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2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2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2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2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2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2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2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2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2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2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2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2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2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2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2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2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2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2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2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2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2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2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2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2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2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2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2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2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2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2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2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2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2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2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2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2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2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2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2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2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2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2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2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2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2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2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2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2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2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2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2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2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2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2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2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2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2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2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2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2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2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2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2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2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2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2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2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2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2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2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2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2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2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2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2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2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2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2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2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2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2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2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2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2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2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2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2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2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2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2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2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2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2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2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2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2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2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2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2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2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2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2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2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2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2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2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2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2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2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2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2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2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2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2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2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2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2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2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2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2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2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2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2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2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2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2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2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2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2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2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2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2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2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2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2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2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2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2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2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2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2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2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2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2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2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2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2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2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2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2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2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2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2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2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2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2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2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2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2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2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2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2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2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2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2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2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2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2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2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2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2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2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2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2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2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2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2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2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2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2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2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2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2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2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2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2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2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2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2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2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2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2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2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2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2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2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2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2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2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2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2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2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2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2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2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2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2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2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2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2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2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2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2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2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2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2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2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2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2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2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2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2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2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2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2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2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2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2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2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2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2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2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2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2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2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2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2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2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2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2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2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2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2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2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2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2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2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2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2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2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2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2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2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2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2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2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2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2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2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2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2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2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2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2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2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2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2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2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2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2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2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2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2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2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2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2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2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2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2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2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2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2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2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2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2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2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2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2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2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2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2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2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2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2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2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2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2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2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2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2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2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2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2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2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2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2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2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2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2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2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2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2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2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2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2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2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2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2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2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2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2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2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2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2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2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2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2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2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2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2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2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2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2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2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2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2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2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2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2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2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2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2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2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2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2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2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2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2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2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2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2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2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2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2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2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2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2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2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2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2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2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2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2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2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2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2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2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2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2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2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2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2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2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2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2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2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2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2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2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2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2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2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2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2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2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2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2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2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2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2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2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2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2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2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2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2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2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2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2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2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2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2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2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2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2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2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2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2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2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2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2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2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2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2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2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2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2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2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2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2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2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2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2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2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2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2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2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2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2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2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2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2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2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2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2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2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2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2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2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2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2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2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2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2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2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2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2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2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2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2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2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2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2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2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2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2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2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2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2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2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2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2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2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2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2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2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2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2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2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2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2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2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2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2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2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2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2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2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2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2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2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2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2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2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2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2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2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2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2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2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2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2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2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2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2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2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2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2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2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2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2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2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2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2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2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2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2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2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2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2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2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2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2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2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2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2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2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2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2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2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2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2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2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2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2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2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2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2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2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2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2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2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2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2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2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2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2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2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2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2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2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2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2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2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2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2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2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2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2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2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2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2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2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2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2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2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2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2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2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2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2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2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2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2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2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2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2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2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2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2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2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2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2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2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2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2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2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2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2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2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2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2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2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2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2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2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2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2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2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2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2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2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2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2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2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2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2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2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2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2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2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2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2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2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2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2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2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2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2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2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2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2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2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2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2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2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2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2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2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2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2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2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2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2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2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2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2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2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2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2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2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2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2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2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2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2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2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2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2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2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2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2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2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2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2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2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2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2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2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2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2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2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2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2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2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2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2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2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2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2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2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2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2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2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2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2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2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2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2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2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2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2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2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2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2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2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2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2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2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2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2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2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2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2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2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2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2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2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2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2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2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2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2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2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2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2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2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2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2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2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2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2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2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2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2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2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2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2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2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2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2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2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2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2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2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2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2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2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2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2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2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2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2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2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2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2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2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2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2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2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2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2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2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2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2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2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2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2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2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2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2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2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2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2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2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2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2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2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2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2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2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2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2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2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2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2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2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2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2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2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2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2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2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2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2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2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2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2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2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2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2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2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2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2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2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2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2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2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2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2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2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2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2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2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2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2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2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2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2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2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2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2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2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2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2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2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2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2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2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2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2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2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2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2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2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2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2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2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2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2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2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2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2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2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2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2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2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2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2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2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2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2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2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2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2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2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2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2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2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2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2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2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2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2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2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2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2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2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2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2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2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2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2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2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2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2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2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2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2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2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2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2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2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2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2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2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2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2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2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2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2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2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2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2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2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2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2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2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2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2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2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2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2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2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2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2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2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2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2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2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2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2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2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2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2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2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2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2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2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2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2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2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2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2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2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2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2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2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2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2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2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2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2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2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2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2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2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2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2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2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2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2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2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2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2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2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2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2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2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2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2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2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2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2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2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2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2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2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2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2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2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2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2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2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2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2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2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2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2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2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2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2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2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2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2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2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2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2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2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2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2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2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2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2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2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2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2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2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2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2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2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2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2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2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2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2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2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2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2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2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2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2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2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2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2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2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2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2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2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2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2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2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2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2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2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2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2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2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2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2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2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2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2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2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2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2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2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2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2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2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2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2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2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2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2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2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2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2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2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2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2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2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2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2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2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2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2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2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2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2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2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2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2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2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2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2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2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2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2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2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2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2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2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2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2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2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2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2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2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2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2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2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2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2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2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2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2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2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2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2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2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2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2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2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2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2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2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2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2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2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2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2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2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2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2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2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2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2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2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2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2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2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2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2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2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2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2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2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2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2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2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2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2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2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2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2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2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2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2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2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2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2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2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2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2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2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2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2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2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2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2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2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2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2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2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2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2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2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2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2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2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2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2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2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2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2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2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2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2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2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2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2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2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2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2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2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2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2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2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2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2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2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2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2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2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2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2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2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2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2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2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2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2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2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2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2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2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2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2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2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2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2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2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2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2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2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2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2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2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2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2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2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2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2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2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2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2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2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2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2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2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2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2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2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2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2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2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2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2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2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2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2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2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2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2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2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2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2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2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2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2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2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2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2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2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2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2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2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2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2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2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2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2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2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2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2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2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2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2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2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2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2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2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2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2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2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2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2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2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2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2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2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2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2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2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2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2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2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2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2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2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2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2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2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2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2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2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2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2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2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2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2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2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2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2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2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2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2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2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2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2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2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2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2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2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2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2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2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2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2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2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2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2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2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2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2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2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2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2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2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2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2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2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2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2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2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2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2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2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2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2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2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2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2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2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2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2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2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2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2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2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2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2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2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2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2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2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2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2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2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2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2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2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2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2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2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2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2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2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2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2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2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2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2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2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2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2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2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2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2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2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2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2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2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2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2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2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2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2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2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2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2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2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2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2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2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2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2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2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2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2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2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2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2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2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2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2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2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2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2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2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2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2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2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2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2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2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2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2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2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2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2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2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9D8E-07B3-4BC6-990F-9C62DAAF7212}">
  <dimension ref="D3:V57"/>
  <sheetViews>
    <sheetView topLeftCell="K1" zoomScale="70" zoomScaleNormal="70" workbookViewId="0">
      <selection activeCell="L4" sqref="L4"/>
    </sheetView>
  </sheetViews>
  <sheetFormatPr defaultRowHeight="15" x14ac:dyDescent="0.25"/>
  <cols>
    <col min="4" max="4" width="22.5703125" customWidth="1"/>
    <col min="5" max="5" width="11.5703125" customWidth="1"/>
    <col min="6" max="6" width="13.7109375" customWidth="1"/>
    <col min="7" max="7" width="15.5703125" customWidth="1"/>
    <col min="10" max="10" width="20.85546875" bestFit="1" customWidth="1"/>
    <col min="11" max="11" width="13.5703125" customWidth="1"/>
    <col min="12" max="12" width="16.85546875" customWidth="1"/>
    <col min="13" max="13" width="11.28515625" bestFit="1" customWidth="1"/>
    <col min="15" max="15" width="19.140625" customWidth="1"/>
    <col min="16" max="16" width="23.85546875" customWidth="1"/>
    <col min="17" max="17" width="14.5703125" customWidth="1"/>
    <col min="18" max="18" width="14.85546875" customWidth="1"/>
    <col min="19" max="19" width="20.85546875" customWidth="1"/>
    <col min="20" max="20" width="11.28515625" bestFit="1" customWidth="1"/>
    <col min="21" max="21" width="6.85546875" bestFit="1" customWidth="1"/>
    <col min="22" max="22" width="12" customWidth="1"/>
    <col min="23" max="23" width="6.85546875" bestFit="1" customWidth="1"/>
    <col min="24" max="24" width="3.85546875" bestFit="1" customWidth="1"/>
    <col min="25" max="25" width="4" bestFit="1" customWidth="1"/>
    <col min="26" max="26" width="6.85546875" bestFit="1" customWidth="1"/>
    <col min="27" max="27" width="3.85546875" bestFit="1" customWidth="1"/>
    <col min="28" max="28" width="4" bestFit="1" customWidth="1"/>
    <col min="29" max="29" width="6.85546875" bestFit="1" customWidth="1"/>
    <col min="30" max="30" width="3.85546875" bestFit="1" customWidth="1"/>
    <col min="31" max="31" width="4" bestFit="1" customWidth="1"/>
    <col min="32" max="32" width="6.85546875" bestFit="1" customWidth="1"/>
    <col min="33" max="33" width="3.85546875" bestFit="1" customWidth="1"/>
    <col min="34" max="34" width="4" bestFit="1" customWidth="1"/>
    <col min="35" max="35" width="6.85546875" bestFit="1" customWidth="1"/>
    <col min="36" max="36" width="3.85546875" bestFit="1" customWidth="1"/>
    <col min="37" max="37" width="4" bestFit="1" customWidth="1"/>
    <col min="38" max="38" width="6.85546875" bestFit="1" customWidth="1"/>
    <col min="39" max="39" width="3.85546875" bestFit="1" customWidth="1"/>
    <col min="40" max="40" width="4" bestFit="1" customWidth="1"/>
    <col min="41" max="41" width="6.85546875" bestFit="1" customWidth="1"/>
    <col min="42" max="42" width="3.85546875" bestFit="1" customWidth="1"/>
    <col min="43" max="43" width="4" bestFit="1" customWidth="1"/>
    <col min="44" max="44" width="6.85546875" bestFit="1" customWidth="1"/>
    <col min="45" max="45" width="4.85546875" bestFit="1" customWidth="1"/>
    <col min="46" max="46" width="4" bestFit="1" customWidth="1"/>
    <col min="47" max="47" width="7.85546875" bestFit="1" customWidth="1"/>
    <col min="48" max="48" width="4.85546875" bestFit="1" customWidth="1"/>
    <col min="49" max="49" width="4" bestFit="1" customWidth="1"/>
    <col min="50" max="50" width="7.85546875" bestFit="1" customWidth="1"/>
    <col min="51" max="51" width="4.85546875" bestFit="1" customWidth="1"/>
    <col min="52" max="52" width="7.85546875" bestFit="1" customWidth="1"/>
    <col min="53" max="53" width="4.85546875" bestFit="1" customWidth="1"/>
    <col min="54" max="54" width="7.85546875" bestFit="1" customWidth="1"/>
    <col min="55" max="55" width="4.85546875" bestFit="1" customWidth="1"/>
    <col min="56" max="56" width="4" bestFit="1" customWidth="1"/>
    <col min="57" max="57" width="7.85546875" bestFit="1" customWidth="1"/>
    <col min="58" max="58" width="4.85546875" bestFit="1" customWidth="1"/>
    <col min="59" max="59" width="7.85546875" bestFit="1" customWidth="1"/>
    <col min="60" max="60" width="11.28515625" bestFit="1" customWidth="1"/>
  </cols>
  <sheetData>
    <row r="3" spans="4:22" x14ac:dyDescent="0.25">
      <c r="F3" s="1"/>
      <c r="L3" s="16" t="s">
        <v>114</v>
      </c>
      <c r="M3" s="16"/>
    </row>
    <row r="6" spans="4:22" ht="15.75" thickBot="1" x14ac:dyDescent="0.3"/>
    <row r="7" spans="4:22" ht="15.75" thickBot="1" x14ac:dyDescent="0.3">
      <c r="D7" s="13" t="s">
        <v>107</v>
      </c>
      <c r="E7" s="14"/>
      <c r="F7" s="14"/>
      <c r="G7" s="15"/>
      <c r="P7" s="13" t="s">
        <v>109</v>
      </c>
      <c r="Q7" s="14"/>
      <c r="R7" s="14"/>
      <c r="S7" s="15"/>
    </row>
    <row r="9" spans="4:22" x14ac:dyDescent="0.25">
      <c r="D9" s="6" t="s">
        <v>77</v>
      </c>
      <c r="E9" s="6" t="s">
        <v>78</v>
      </c>
      <c r="P9" s="6" t="s">
        <v>77</v>
      </c>
      <c r="Q9" s="6" t="s">
        <v>78</v>
      </c>
    </row>
    <row r="10" spans="4:22" x14ac:dyDescent="0.25">
      <c r="D10" s="6" t="s">
        <v>99</v>
      </c>
      <c r="E10" t="s">
        <v>22</v>
      </c>
      <c r="F10" t="s">
        <v>23</v>
      </c>
      <c r="G10" t="s">
        <v>76</v>
      </c>
      <c r="I10" s="2" t="s">
        <v>105</v>
      </c>
      <c r="J10" s="2" t="s">
        <v>106</v>
      </c>
      <c r="P10" s="6" t="s">
        <v>79</v>
      </c>
      <c r="Q10" t="s">
        <v>22</v>
      </c>
      <c r="R10" t="s">
        <v>23</v>
      </c>
      <c r="S10" t="s">
        <v>76</v>
      </c>
      <c r="V10" s="2" t="s">
        <v>106</v>
      </c>
    </row>
    <row r="11" spans="4:22" x14ac:dyDescent="0.25">
      <c r="D11" s="7" t="s">
        <v>22</v>
      </c>
      <c r="E11">
        <v>3423</v>
      </c>
      <c r="F11">
        <v>431</v>
      </c>
      <c r="G11">
        <v>3854</v>
      </c>
      <c r="I11">
        <f>GETPIVOTDATA("state",$D$9,"international_plan","no","churn","yes")/GETPIVOTDATA("state",$D$9,"international_plan","no")</f>
        <v>0.11183186299948106</v>
      </c>
      <c r="J11">
        <f>ROUND(I11*100, 2)</f>
        <v>11.18</v>
      </c>
      <c r="P11" s="7" t="s">
        <v>22</v>
      </c>
      <c r="Q11">
        <v>2622</v>
      </c>
      <c r="R11">
        <v>516</v>
      </c>
      <c r="S11">
        <v>3138</v>
      </c>
      <c r="V11" s="11">
        <f>516/3138*(100)</f>
        <v>16.44359464627151</v>
      </c>
    </row>
    <row r="12" spans="4:22" x14ac:dyDescent="0.25">
      <c r="D12" s="7" t="s">
        <v>23</v>
      </c>
      <c r="E12">
        <v>229</v>
      </c>
      <c r="F12">
        <v>167</v>
      </c>
      <c r="G12">
        <v>396</v>
      </c>
      <c r="I12" s="10">
        <f>167/396</f>
        <v>0.42171717171717171</v>
      </c>
      <c r="J12">
        <f>ROUND(I12*100, 2)</f>
        <v>42.17</v>
      </c>
      <c r="P12" s="7" t="s">
        <v>23</v>
      </c>
      <c r="Q12">
        <v>1030</v>
      </c>
      <c r="R12">
        <v>82</v>
      </c>
      <c r="S12">
        <v>1112</v>
      </c>
      <c r="V12" s="11">
        <f>ROUND(82/1112 *(100), 2)</f>
        <v>7.37</v>
      </c>
    </row>
    <row r="13" spans="4:22" x14ac:dyDescent="0.25">
      <c r="D13" s="7" t="s">
        <v>76</v>
      </c>
      <c r="E13">
        <v>3652</v>
      </c>
      <c r="F13">
        <v>598</v>
      </c>
      <c r="G13">
        <v>4250</v>
      </c>
      <c r="P13" s="7" t="s">
        <v>76</v>
      </c>
      <c r="Q13">
        <v>3652</v>
      </c>
      <c r="R13">
        <v>598</v>
      </c>
      <c r="S13">
        <v>4250</v>
      </c>
    </row>
    <row r="15" spans="4:22" x14ac:dyDescent="0.25">
      <c r="D15">
        <f>ROUND(167/598*(100), 2)</f>
        <v>27.93</v>
      </c>
      <c r="E15" s="17" t="s">
        <v>81</v>
      </c>
      <c r="F15" s="17"/>
      <c r="G15" s="17"/>
      <c r="H15" s="17"/>
      <c r="P15">
        <f>82/598 *(100)</f>
        <v>13.712374581939798</v>
      </c>
    </row>
    <row r="17" spans="4:22" x14ac:dyDescent="0.25">
      <c r="R17" s="1" t="s">
        <v>80</v>
      </c>
    </row>
    <row r="18" spans="4:22" ht="15.75" thickBot="1" x14ac:dyDescent="0.3"/>
    <row r="19" spans="4:22" ht="15.75" thickBot="1" x14ac:dyDescent="0.3">
      <c r="D19" s="13" t="s">
        <v>108</v>
      </c>
      <c r="E19" s="14"/>
      <c r="F19" s="14"/>
      <c r="G19" s="15"/>
      <c r="P19" s="13" t="s">
        <v>111</v>
      </c>
      <c r="Q19" s="14"/>
      <c r="R19" s="14"/>
      <c r="S19" s="15"/>
    </row>
    <row r="21" spans="4:22" x14ac:dyDescent="0.25">
      <c r="D21" s="6" t="s">
        <v>77</v>
      </c>
      <c r="E21" s="6" t="s">
        <v>78</v>
      </c>
      <c r="P21" s="6" t="s">
        <v>77</v>
      </c>
      <c r="Q21" s="6" t="s">
        <v>78</v>
      </c>
    </row>
    <row r="22" spans="4:22" x14ac:dyDescent="0.25">
      <c r="D22" s="6" t="s">
        <v>88</v>
      </c>
      <c r="E22" t="s">
        <v>22</v>
      </c>
      <c r="F22" t="s">
        <v>23</v>
      </c>
      <c r="G22" t="s">
        <v>76</v>
      </c>
      <c r="I22" s="2" t="s">
        <v>105</v>
      </c>
      <c r="J22" s="2" t="s">
        <v>106</v>
      </c>
      <c r="K22" s="1"/>
      <c r="P22" s="6" t="s">
        <v>110</v>
      </c>
      <c r="Q22" t="s">
        <v>22</v>
      </c>
      <c r="R22" t="s">
        <v>23</v>
      </c>
      <c r="S22" t="s">
        <v>76</v>
      </c>
      <c r="U22" s="2" t="s">
        <v>105</v>
      </c>
      <c r="V22" s="2" t="s">
        <v>106</v>
      </c>
    </row>
    <row r="23" spans="4:22" x14ac:dyDescent="0.25">
      <c r="D23" s="7" t="s">
        <v>82</v>
      </c>
      <c r="E23">
        <v>391</v>
      </c>
      <c r="F23">
        <v>56</v>
      </c>
      <c r="G23">
        <v>447</v>
      </c>
      <c r="I23">
        <f>GETPIVOTDATA("state",$D$21,"account_length",1,"churn","yes")/GETPIVOTDATA("state",$D$21,"account_length",1)</f>
        <v>0.12527964205816555</v>
      </c>
      <c r="J23">
        <f>ROUND(I23*100, 2)</f>
        <v>12.53</v>
      </c>
      <c r="P23" s="7" t="s">
        <v>89</v>
      </c>
      <c r="Q23">
        <v>2147</v>
      </c>
      <c r="R23">
        <v>263</v>
      </c>
      <c r="S23">
        <v>2410</v>
      </c>
      <c r="U23">
        <f>GETPIVOTDATA("state",$P$21,"number_customer_service_calls",0,"churn","yes")/GETPIVOTDATA("state",$P$21,"number_customer_service_calls",0)</f>
        <v>0.10912863070539419</v>
      </c>
      <c r="V23">
        <f>ROUND(U23*100, 2)</f>
        <v>10.91</v>
      </c>
    </row>
    <row r="24" spans="4:22" x14ac:dyDescent="0.25">
      <c r="D24" s="7" t="s">
        <v>83</v>
      </c>
      <c r="E24">
        <v>1484</v>
      </c>
      <c r="F24">
        <v>238</v>
      </c>
      <c r="G24">
        <v>1722</v>
      </c>
      <c r="I24">
        <f>GETPIVOTDATA("state",$D$21,"account_length",51,"churn","yes")/GETPIVOTDATA("state",$D$21,"account_length",51)</f>
        <v>0.13821138211382114</v>
      </c>
      <c r="J24">
        <f t="shared" ref="J24:J27" si="0">ROUND(I24*100, 2)</f>
        <v>13.82</v>
      </c>
      <c r="P24" s="7" t="s">
        <v>91</v>
      </c>
      <c r="Q24">
        <v>1340</v>
      </c>
      <c r="R24">
        <v>165</v>
      </c>
      <c r="S24">
        <v>1505</v>
      </c>
      <c r="U24">
        <f>GETPIVOTDATA("state",$P$21,"number_customer_service_calls",2,"churn","yes")/GETPIVOTDATA("state",$P$21,"number_customer_service_calls",2)</f>
        <v>0.10963455149501661</v>
      </c>
      <c r="V24">
        <f t="shared" ref="V24:V27" si="1">ROUND(U24*100, 2)</f>
        <v>10.96</v>
      </c>
    </row>
    <row r="25" spans="4:22" x14ac:dyDescent="0.25">
      <c r="D25" s="7" t="s">
        <v>84</v>
      </c>
      <c r="E25">
        <v>1402</v>
      </c>
      <c r="F25">
        <v>237</v>
      </c>
      <c r="G25">
        <v>1639</v>
      </c>
      <c r="I25">
        <f>GETPIVOTDATA("state",$D$21,"account_length",101,"churn","yes")/GETPIVOTDATA("state",$D$21,"account_length",101)</f>
        <v>0.14460036607687615</v>
      </c>
      <c r="J25">
        <f t="shared" si="0"/>
        <v>14.46</v>
      </c>
      <c r="P25" s="7" t="s">
        <v>93</v>
      </c>
      <c r="Q25">
        <v>149</v>
      </c>
      <c r="R25">
        <v>141</v>
      </c>
      <c r="S25">
        <v>290</v>
      </c>
      <c r="U25">
        <f>GETPIVOTDATA("state",$P$21,"number_customer_service_calls",4,"churn","yes")/GETPIVOTDATA("state",$P$21,"number_customer_service_calls",4)</f>
        <v>0.48620689655172411</v>
      </c>
      <c r="V25" s="12">
        <f t="shared" si="1"/>
        <v>48.62</v>
      </c>
    </row>
    <row r="26" spans="4:22" x14ac:dyDescent="0.25">
      <c r="D26" s="7" t="s">
        <v>85</v>
      </c>
      <c r="E26">
        <v>354</v>
      </c>
      <c r="F26">
        <v>60</v>
      </c>
      <c r="G26">
        <v>414</v>
      </c>
      <c r="I26">
        <f>GETPIVOTDATA("state",$D$21,"account_length",151,"churn","yes")/GETPIVOTDATA("state",$D$21,"account_length",151)</f>
        <v>0.14492753623188406</v>
      </c>
      <c r="J26">
        <f t="shared" si="0"/>
        <v>14.49</v>
      </c>
      <c r="P26" s="7" t="s">
        <v>97</v>
      </c>
      <c r="Q26">
        <v>15</v>
      </c>
      <c r="R26">
        <v>26</v>
      </c>
      <c r="S26">
        <v>41</v>
      </c>
      <c r="U26">
        <f>GETPIVOTDATA("state",$P$21,"number_customer_service_calls",6,"churn","yes")/GETPIVOTDATA("state",$P$21,"number_customer_service_calls",6)</f>
        <v>0.63414634146341464</v>
      </c>
      <c r="V26">
        <f t="shared" si="1"/>
        <v>63.41</v>
      </c>
    </row>
    <row r="27" spans="4:22" x14ac:dyDescent="0.25">
      <c r="D27" s="7" t="s">
        <v>86</v>
      </c>
      <c r="E27">
        <v>21</v>
      </c>
      <c r="F27">
        <v>7</v>
      </c>
      <c r="G27">
        <v>28</v>
      </c>
      <c r="I27">
        <f>GETPIVOTDATA("state",$D$21,"account_length",201,"churn","yes")/GETPIVOTDATA("state",$D$21,"account_length",201)</f>
        <v>0.25</v>
      </c>
      <c r="J27">
        <f t="shared" si="0"/>
        <v>25</v>
      </c>
      <c r="P27" s="7" t="s">
        <v>98</v>
      </c>
      <c r="Q27">
        <v>1</v>
      </c>
      <c r="R27">
        <v>3</v>
      </c>
      <c r="S27">
        <v>4</v>
      </c>
      <c r="U27">
        <f>GETPIVOTDATA("state",$P$21,"number_customer_service_calls",8,"churn","yes")/GETPIVOTDATA("state",$P$21,"number_customer_service_calls",8)</f>
        <v>0.75</v>
      </c>
      <c r="V27">
        <f t="shared" si="1"/>
        <v>75</v>
      </c>
    </row>
    <row r="28" spans="4:22" x14ac:dyDescent="0.25">
      <c r="D28" s="7" t="s">
        <v>76</v>
      </c>
      <c r="E28">
        <v>3652</v>
      </c>
      <c r="F28">
        <v>598</v>
      </c>
      <c r="G28">
        <v>4250</v>
      </c>
      <c r="P28" s="7" t="s">
        <v>76</v>
      </c>
      <c r="Q28">
        <v>3652</v>
      </c>
      <c r="R28">
        <v>598</v>
      </c>
      <c r="S28">
        <v>4250</v>
      </c>
    </row>
    <row r="30" spans="4:22" x14ac:dyDescent="0.25">
      <c r="D30" s="7" t="s">
        <v>87</v>
      </c>
    </row>
    <row r="34" spans="4:22" ht="15.75" thickBot="1" x14ac:dyDescent="0.3"/>
    <row r="35" spans="4:22" ht="15.75" thickBot="1" x14ac:dyDescent="0.3">
      <c r="D35" s="13" t="s">
        <v>112</v>
      </c>
      <c r="E35" s="14"/>
      <c r="F35" s="14"/>
      <c r="G35" s="15"/>
      <c r="P35" s="13" t="s">
        <v>113</v>
      </c>
      <c r="Q35" s="14"/>
      <c r="R35" s="14"/>
      <c r="S35" s="15"/>
    </row>
    <row r="37" spans="4:22" x14ac:dyDescent="0.25">
      <c r="D37" s="6" t="s">
        <v>77</v>
      </c>
      <c r="E37" s="6" t="s">
        <v>78</v>
      </c>
      <c r="P37" s="6" t="s">
        <v>3</v>
      </c>
      <c r="Q37" t="s">
        <v>23</v>
      </c>
    </row>
    <row r="38" spans="4:22" x14ac:dyDescent="0.25">
      <c r="D38" s="6" t="s">
        <v>95</v>
      </c>
      <c r="E38" t="s">
        <v>22</v>
      </c>
      <c r="F38" t="s">
        <v>23</v>
      </c>
      <c r="G38" t="s">
        <v>76</v>
      </c>
      <c r="I38" s="2" t="s">
        <v>105</v>
      </c>
      <c r="J38" s="2" t="s">
        <v>106</v>
      </c>
    </row>
    <row r="39" spans="4:22" x14ac:dyDescent="0.25">
      <c r="D39" s="7" t="s">
        <v>89</v>
      </c>
      <c r="E39">
        <v>47</v>
      </c>
      <c r="F39">
        <v>1</v>
      </c>
      <c r="G39">
        <v>48</v>
      </c>
      <c r="I39">
        <f>GETPIVOTDATA("state",$D$37,"total_intl_charge",0,"churn","yes")/GETPIVOTDATA("state",$D$37,"total_intl_charge",0)</f>
        <v>2.0833333333333332E-2</v>
      </c>
      <c r="J39">
        <f>ROUND(I39*100, 2)</f>
        <v>2.08</v>
      </c>
      <c r="P39" s="6" t="s">
        <v>77</v>
      </c>
      <c r="Q39" s="6" t="s">
        <v>78</v>
      </c>
    </row>
    <row r="40" spans="4:22" x14ac:dyDescent="0.25">
      <c r="D40" s="7" t="s">
        <v>90</v>
      </c>
      <c r="E40">
        <v>473</v>
      </c>
      <c r="F40">
        <v>68</v>
      </c>
      <c r="G40">
        <v>541</v>
      </c>
      <c r="I40">
        <f>GETPIVOTDATA("state",$D$37,"total_intl_charge",1,"churn","yes")/GETPIVOTDATA("state",$D$37,"total_intl_charge",1)</f>
        <v>0.1256931608133087</v>
      </c>
      <c r="J40">
        <f t="shared" ref="J40:J44" si="2">ROUND(I40*100, 2)</f>
        <v>12.57</v>
      </c>
      <c r="P40" s="6" t="s">
        <v>96</v>
      </c>
      <c r="Q40" t="s">
        <v>22</v>
      </c>
      <c r="R40" t="s">
        <v>23</v>
      </c>
      <c r="S40" t="s">
        <v>76</v>
      </c>
      <c r="U40" s="2" t="s">
        <v>105</v>
      </c>
      <c r="V40" s="2" t="s">
        <v>106</v>
      </c>
    </row>
    <row r="41" spans="4:22" x14ac:dyDescent="0.25">
      <c r="D41" s="7" t="s">
        <v>91</v>
      </c>
      <c r="E41">
        <v>1709</v>
      </c>
      <c r="F41">
        <v>274</v>
      </c>
      <c r="G41">
        <v>1983</v>
      </c>
      <c r="I41">
        <f>GETPIVOTDATA("state",$D$37,"total_intl_charge",2,"churn","yes")/GETPIVOTDATA("state",$D$37,"total_intl_charge",2)</f>
        <v>0.13817448310640443</v>
      </c>
      <c r="J41">
        <f t="shared" si="2"/>
        <v>13.82</v>
      </c>
      <c r="P41" s="7" t="s">
        <v>89</v>
      </c>
      <c r="Q41">
        <v>145</v>
      </c>
      <c r="R41">
        <v>89</v>
      </c>
      <c r="S41">
        <v>234</v>
      </c>
      <c r="U41">
        <f>89/234</f>
        <v>0.38034188034188032</v>
      </c>
      <c r="V41">
        <f>ROUND(100*U41, 2)</f>
        <v>38.03</v>
      </c>
    </row>
    <row r="42" spans="4:22" x14ac:dyDescent="0.25">
      <c r="D42" s="7" t="s">
        <v>92</v>
      </c>
      <c r="E42">
        <v>1264</v>
      </c>
      <c r="F42">
        <v>222</v>
      </c>
      <c r="G42">
        <v>1486</v>
      </c>
      <c r="I42">
        <f>GETPIVOTDATA("state",$D$37,"total_intl_charge",3,"churn","yes")/GETPIVOTDATA("state",$D$37,"total_intl_charge",3)</f>
        <v>0.14939434724091522</v>
      </c>
      <c r="J42">
        <f t="shared" si="2"/>
        <v>14.94</v>
      </c>
      <c r="P42" s="7" t="s">
        <v>91</v>
      </c>
      <c r="Q42">
        <v>76</v>
      </c>
      <c r="R42">
        <v>52</v>
      </c>
      <c r="S42">
        <v>128</v>
      </c>
      <c r="U42">
        <f>GETPIVOTDATA("state",$P$39,"number_customer_service_calls",2,"churn","yes")/GETPIVOTDATA("state",$P$39,"number_customer_service_calls",2)</f>
        <v>0.40625</v>
      </c>
      <c r="V42">
        <f t="shared" ref="V42:V45" si="3">ROUND(100*U42, 2)</f>
        <v>40.630000000000003</v>
      </c>
    </row>
    <row r="43" spans="4:22" x14ac:dyDescent="0.25">
      <c r="D43" s="7" t="s">
        <v>93</v>
      </c>
      <c r="E43">
        <v>154</v>
      </c>
      <c r="F43">
        <v>31</v>
      </c>
      <c r="G43">
        <v>185</v>
      </c>
      <c r="I43">
        <f>GETPIVOTDATA("state",$D$37,"total_intl_charge",4,"churn","yes")/GETPIVOTDATA("state",$D$37,"total_intl_charge",4)</f>
        <v>0.16756756756756758</v>
      </c>
      <c r="J43">
        <f t="shared" si="2"/>
        <v>16.760000000000002</v>
      </c>
      <c r="P43" s="7" t="s">
        <v>93</v>
      </c>
      <c r="Q43">
        <v>8</v>
      </c>
      <c r="R43">
        <v>22</v>
      </c>
      <c r="S43">
        <v>30</v>
      </c>
      <c r="U43">
        <f>GETPIVOTDATA("state",$P$39,"number_customer_service_calls",4,"churn","yes")/GETPIVOTDATA("state",$P$39,"number_customer_service_calls",4)</f>
        <v>0.73333333333333328</v>
      </c>
      <c r="V43">
        <f t="shared" si="3"/>
        <v>73.33</v>
      </c>
    </row>
    <row r="44" spans="4:22" x14ac:dyDescent="0.25">
      <c r="D44" s="7" t="s">
        <v>94</v>
      </c>
      <c r="E44">
        <v>5</v>
      </c>
      <c r="F44">
        <v>2</v>
      </c>
      <c r="G44">
        <v>7</v>
      </c>
      <c r="I44">
        <f>GETPIVOTDATA("state",$D$37,"total_intl_charge",5,"churn","yes")/GETPIVOTDATA("state",$D$37,"total_intl_charge",5)</f>
        <v>0.2857142857142857</v>
      </c>
      <c r="J44">
        <f t="shared" si="2"/>
        <v>28.57</v>
      </c>
      <c r="P44" s="7" t="s">
        <v>97</v>
      </c>
      <c r="R44">
        <v>3</v>
      </c>
      <c r="S44">
        <v>3</v>
      </c>
      <c r="U44">
        <f>GETPIVOTDATA("state",$P$39,"number_customer_service_calls",6,"churn","yes")/GETPIVOTDATA("state",$P$39,"number_customer_service_calls",6)</f>
        <v>1</v>
      </c>
      <c r="V44">
        <f t="shared" si="3"/>
        <v>100</v>
      </c>
    </row>
    <row r="45" spans="4:22" x14ac:dyDescent="0.25">
      <c r="D45" s="7" t="s">
        <v>76</v>
      </c>
      <c r="E45">
        <v>3652</v>
      </c>
      <c r="F45">
        <v>598</v>
      </c>
      <c r="G45">
        <v>4250</v>
      </c>
      <c r="P45" s="7" t="s">
        <v>98</v>
      </c>
      <c r="R45">
        <v>1</v>
      </c>
      <c r="S45">
        <v>1</v>
      </c>
      <c r="U45">
        <f>GETPIVOTDATA("state",$P$39,"number_customer_service_calls",8,"churn","yes")/GETPIVOTDATA("state",$P$39,"number_customer_service_calls",8)</f>
        <v>1</v>
      </c>
      <c r="V45">
        <f t="shared" si="3"/>
        <v>100</v>
      </c>
    </row>
    <row r="46" spans="4:22" x14ac:dyDescent="0.25">
      <c r="P46" s="7" t="s">
        <v>76</v>
      </c>
      <c r="Q46">
        <v>229</v>
      </c>
      <c r="R46">
        <v>167</v>
      </c>
      <c r="S46">
        <v>396</v>
      </c>
    </row>
    <row r="49" spans="4:16" ht="15.75" thickBot="1" x14ac:dyDescent="0.3"/>
    <row r="50" spans="4:16" ht="15.75" thickBot="1" x14ac:dyDescent="0.3">
      <c r="D50" s="13"/>
      <c r="E50" s="14"/>
      <c r="F50" s="14"/>
      <c r="G50" s="15"/>
    </row>
    <row r="54" spans="4:16" x14ac:dyDescent="0.25">
      <c r="J54" s="1" t="s">
        <v>99</v>
      </c>
      <c r="K54" s="1" t="s">
        <v>102</v>
      </c>
      <c r="O54" s="1" t="s">
        <v>103</v>
      </c>
      <c r="P54" s="1" t="s">
        <v>104</v>
      </c>
    </row>
    <row r="55" spans="4:16" x14ac:dyDescent="0.25">
      <c r="J55" s="1" t="s">
        <v>100</v>
      </c>
      <c r="K55" s="9">
        <v>0.42170000000000002</v>
      </c>
      <c r="O55" s="1" t="s">
        <v>89</v>
      </c>
      <c r="P55" s="9">
        <v>0.1091</v>
      </c>
    </row>
    <row r="56" spans="4:16" x14ac:dyDescent="0.25">
      <c r="J56" s="1" t="s">
        <v>101</v>
      </c>
      <c r="K56" s="9">
        <v>0.1118</v>
      </c>
      <c r="O56" s="8" t="s">
        <v>91</v>
      </c>
      <c r="P56" s="9">
        <v>0.1096</v>
      </c>
    </row>
    <row r="57" spans="4:16" x14ac:dyDescent="0.25">
      <c r="O57" s="8" t="s">
        <v>93</v>
      </c>
      <c r="P57" s="9">
        <v>0.48620000000000002</v>
      </c>
    </row>
  </sheetData>
  <mergeCells count="9">
    <mergeCell ref="L3:M3"/>
    <mergeCell ref="E15:H15"/>
    <mergeCell ref="D7:G7"/>
    <mergeCell ref="D19:G19"/>
    <mergeCell ref="P7:S7"/>
    <mergeCell ref="P19:S19"/>
    <mergeCell ref="D35:G35"/>
    <mergeCell ref="P35:S35"/>
    <mergeCell ref="D50:G50"/>
  </mergeCells>
  <pageMargins left="0.7" right="0.7" top="0.75" bottom="0.75" header="0.3" footer="0.3"/>
  <tableParts count="2"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B2A2-F4DF-47D5-9F16-194BA9645BCE}">
  <dimension ref="A14"/>
  <sheetViews>
    <sheetView tabSelected="1" zoomScaleNormal="100" workbookViewId="0">
      <selection activeCell="AA16" sqref="AA16"/>
    </sheetView>
  </sheetViews>
  <sheetFormatPr defaultRowHeight="15" x14ac:dyDescent="0.25"/>
  <sheetData>
    <row r="14" ht="12.7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Tables</vt:lpstr>
      <vt:lpstr>Dashboard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venkata nagaraju Karanam</cp:lastModifiedBy>
  <dcterms:created xsi:type="dcterms:W3CDTF">2026-06-13T09:30:22Z</dcterms:created>
  <dcterms:modified xsi:type="dcterms:W3CDTF">2026-06-14T20:55:08Z</dcterms:modified>
  <cp:category/>
</cp:coreProperties>
</file>